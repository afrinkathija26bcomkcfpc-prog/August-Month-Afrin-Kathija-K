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f0dfecb005ccab/Personal Financial Management/"/>
    </mc:Choice>
  </mc:AlternateContent>
  <xr:revisionPtr revIDLastSave="0" documentId="8_{EFAAA066-C68F-4C46-B860-DD4E106B64F6}" xr6:coauthVersionLast="47" xr6:coauthVersionMax="47" xr10:uidLastSave="{00000000-0000-0000-0000-000000000000}"/>
  <bookViews>
    <workbookView xWindow="-110" yWindow="-110" windowWidth="19420" windowHeight="10300" firstSheet="1" activeTab="5" xr2:uid="{B7B05CE6-4AB2-4C51-AABB-5E5EF0D9D394}"/>
  </bookViews>
  <sheets>
    <sheet name="Transaction" sheetId="1" r:id="rId1"/>
    <sheet name="Journal Entries" sheetId="2" r:id="rId2"/>
    <sheet name="Ledger" sheetId="3" r:id="rId3"/>
    <sheet name="Trial Balance" sheetId="4" r:id="rId4"/>
    <sheet name="Income &amp; Expenditure " sheetId="5" r:id="rId5"/>
    <sheet name="Balance She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6" l="1"/>
  <c r="F7" i="6"/>
  <c r="C21" i="5"/>
  <c r="C22" i="5"/>
  <c r="F22" i="5"/>
  <c r="D24" i="4"/>
  <c r="C24" i="4"/>
  <c r="H32" i="3"/>
  <c r="D86" i="3"/>
  <c r="D163" i="3"/>
  <c r="H163" i="3" s="1"/>
  <c r="H161" i="3" s="1"/>
  <c r="D164" i="3" s="1"/>
  <c r="D156" i="3"/>
  <c r="H156" i="3" s="1"/>
  <c r="H154" i="3" s="1"/>
  <c r="D157" i="3" s="1"/>
  <c r="D149" i="3"/>
  <c r="H149" i="3" s="1"/>
  <c r="H147" i="3" s="1"/>
  <c r="D150" i="3" s="1"/>
  <c r="D56" i="3"/>
  <c r="H56" i="3" s="1"/>
  <c r="H52" i="3" s="1"/>
  <c r="D57" i="3" s="1"/>
  <c r="D142" i="3"/>
  <c r="H142" i="3" s="1"/>
  <c r="H140" i="3" s="1"/>
  <c r="D143" i="3" s="1"/>
  <c r="D128" i="3"/>
  <c r="H128" i="3" s="1"/>
  <c r="H126" i="3" s="1"/>
  <c r="D129" i="3" s="1"/>
  <c r="D135" i="3"/>
  <c r="H135" i="3" s="1"/>
  <c r="H133" i="3" s="1"/>
  <c r="D136" i="3" s="1"/>
  <c r="D121" i="3"/>
  <c r="H121" i="3" s="1"/>
  <c r="H119" i="3" s="1"/>
  <c r="D122" i="3" s="1"/>
  <c r="H114" i="3"/>
  <c r="D114" i="3" s="1"/>
  <c r="D112" i="3" s="1"/>
  <c r="H115" i="3" s="1"/>
  <c r="D107" i="3"/>
  <c r="H107" i="3" s="1"/>
  <c r="H105" i="3" s="1"/>
  <c r="D108" i="3" s="1"/>
  <c r="D100" i="3"/>
  <c r="H100" i="3" s="1"/>
  <c r="H98" i="3" s="1"/>
  <c r="D101" i="3" s="1"/>
  <c r="D93" i="3"/>
  <c r="H93" i="3" s="1"/>
  <c r="H91" i="3" s="1"/>
  <c r="D94" i="3" s="1"/>
  <c r="H86" i="3"/>
  <c r="H82" i="3" s="1"/>
  <c r="D87" i="3" s="1"/>
  <c r="D77" i="3"/>
  <c r="H77" i="3" s="1"/>
  <c r="H75" i="3" s="1"/>
  <c r="D78" i="3" s="1"/>
  <c r="D70" i="3"/>
  <c r="H70" i="3" s="1"/>
  <c r="H68" i="3" s="1"/>
  <c r="D71" i="3" s="1"/>
  <c r="D63" i="3"/>
  <c r="H63" i="3" s="1"/>
  <c r="H61" i="3" s="1"/>
  <c r="D64" i="3" s="1"/>
  <c r="D47" i="3"/>
  <c r="H47" i="3" s="1"/>
  <c r="H45" i="3" s="1"/>
  <c r="D48" i="3" s="1"/>
  <c r="D40" i="3"/>
  <c r="H40" i="3" s="1"/>
  <c r="H38" i="3" s="1"/>
  <c r="D41" i="3" s="1"/>
  <c r="D33" i="3"/>
  <c r="H33" i="3" s="1"/>
  <c r="D34" i="3"/>
</calcChain>
</file>

<file path=xl/sharedStrings.xml><?xml version="1.0" encoding="utf-8"?>
<sst xmlns="http://schemas.openxmlformats.org/spreadsheetml/2006/main" count="640" uniqueCount="191">
  <si>
    <t>From the following Transaction of AK Family as on 31th August 2026</t>
  </si>
  <si>
    <t>Week 1</t>
  </si>
  <si>
    <t>Purchased House Items - ₹ 300</t>
  </si>
  <si>
    <t>Paid Entertainment Expenses - ₹ 450</t>
  </si>
  <si>
    <t>Paid Petrol - ₹ 50</t>
  </si>
  <si>
    <t>Purchased Snacks for Cash - ₹ 330</t>
  </si>
  <si>
    <t>Purchased Food - ₹ 400</t>
  </si>
  <si>
    <t>Purchased Grocery for Cash - ₹ 350</t>
  </si>
  <si>
    <t>Purchased Perishable Goods - ₹ 500</t>
  </si>
  <si>
    <t>Week 2</t>
  </si>
  <si>
    <t>Purchased Grocery for Cash - ₹ 500</t>
  </si>
  <si>
    <t>Purchased Perishable Goods - ₹ 300</t>
  </si>
  <si>
    <t>Purchased Vegetables for cash - ₹ 450</t>
  </si>
  <si>
    <t>Paid Street Tax - ₹ 200</t>
  </si>
  <si>
    <t>Paid Medicine Expenses - ₹ 2,000</t>
  </si>
  <si>
    <t>Received Salary - ₹ 25,000</t>
  </si>
  <si>
    <t>Week 3</t>
  </si>
  <si>
    <t>Paid Water Bill - ₹ 110</t>
  </si>
  <si>
    <t>Purchased Perishable Goods - ₹ 600</t>
  </si>
  <si>
    <t>Paid Mobile Charges - ₹ 350</t>
  </si>
  <si>
    <t>Purchased Clothes for Cash - ₹ 1,000</t>
  </si>
  <si>
    <t>Purchased Vegetables for cash - ₹ 150</t>
  </si>
  <si>
    <t>Purchased Food - ₹ 150</t>
  </si>
  <si>
    <t>Week 4</t>
  </si>
  <si>
    <t>Paid Mobile Charges - ₹ 320</t>
  </si>
  <si>
    <t>Purchased Perishable Goods - ₹ 400</t>
  </si>
  <si>
    <t>Paid Television Charges - ₹ 260</t>
  </si>
  <si>
    <t>Purchased Diary Products - ₹ 550</t>
  </si>
  <si>
    <t>Paid Travelling Expenses - ₹ 200</t>
  </si>
  <si>
    <t>In the book of Journal Entries of AK Family for the Month ended 31th August 2026</t>
  </si>
  <si>
    <t>Date</t>
  </si>
  <si>
    <t>Particulars</t>
  </si>
  <si>
    <t>L.F</t>
  </si>
  <si>
    <t>Debit ₹</t>
  </si>
  <si>
    <t>Credit ₹</t>
  </si>
  <si>
    <t>01.08.2026</t>
  </si>
  <si>
    <t>House Items A/C</t>
  </si>
  <si>
    <t>Dr.</t>
  </si>
  <si>
    <t xml:space="preserve">  To Cash A/C</t>
  </si>
  <si>
    <t>(Being Purchased House Items)</t>
  </si>
  <si>
    <t>02.08.2026</t>
  </si>
  <si>
    <t>Entertainment Expenses A/C</t>
  </si>
  <si>
    <t>(Being Paid Entertainment Expenses)</t>
  </si>
  <si>
    <t>03.08.2026</t>
  </si>
  <si>
    <t>Petrol A/C</t>
  </si>
  <si>
    <t>(Being Paid Petrol)</t>
  </si>
  <si>
    <t>04.08.2026</t>
  </si>
  <si>
    <t>Snacks A/C</t>
  </si>
  <si>
    <t>(Being Purchased Snacks for Cash)</t>
  </si>
  <si>
    <t>05.08.2026</t>
  </si>
  <si>
    <t>Food A/C</t>
  </si>
  <si>
    <t>(Being Purchased Food)</t>
  </si>
  <si>
    <t>06.08.2026</t>
  </si>
  <si>
    <t>Grocery A/C</t>
  </si>
  <si>
    <t>(Being Purchased Grocery for Cash)</t>
  </si>
  <si>
    <t>07.08.2026</t>
  </si>
  <si>
    <t>Perishable Goods A/C</t>
  </si>
  <si>
    <t>(Being Purchased Perishable Goods)</t>
  </si>
  <si>
    <t>08.08.2026</t>
  </si>
  <si>
    <t>09.08.2026</t>
  </si>
  <si>
    <t>10.08.2026</t>
  </si>
  <si>
    <t>11.08.2026</t>
  </si>
  <si>
    <t>Vegetables A/C</t>
  </si>
  <si>
    <t>(Being Purchased Vegetables for cash)</t>
  </si>
  <si>
    <t>12.08.2026</t>
  </si>
  <si>
    <t>Street Tax A/C</t>
  </si>
  <si>
    <t>(Being Paid Street Tax)</t>
  </si>
  <si>
    <t>13.08.2026</t>
  </si>
  <si>
    <t>Medicine Expenses A/C</t>
  </si>
  <si>
    <t>(Being Paid Medicine Expenses)</t>
  </si>
  <si>
    <t>14.08.2026</t>
  </si>
  <si>
    <t>Cash A/C</t>
  </si>
  <si>
    <t xml:space="preserve">  To Salary A/C</t>
  </si>
  <si>
    <t>(Being Received Salary)</t>
  </si>
  <si>
    <t>15.08.2026</t>
  </si>
  <si>
    <t>Water Bill A/C</t>
  </si>
  <si>
    <t>(Being Paid Water Bill)</t>
  </si>
  <si>
    <t>16.08.2026</t>
  </si>
  <si>
    <t>Pershiable Goods A/C</t>
  </si>
  <si>
    <t>17.08.2026</t>
  </si>
  <si>
    <t>Mobile Charges A/C</t>
  </si>
  <si>
    <t>(Being Paid Mobile Charges)</t>
  </si>
  <si>
    <t>18.08.2026</t>
  </si>
  <si>
    <t>19.08.2026</t>
  </si>
  <si>
    <t>Clothes A/C</t>
  </si>
  <si>
    <t>(Being Purchased Clothes for Cash)</t>
  </si>
  <si>
    <t>20.08.2026</t>
  </si>
  <si>
    <t>21.08.2026</t>
  </si>
  <si>
    <t>22.08.2026</t>
  </si>
  <si>
    <t>23.08.2026</t>
  </si>
  <si>
    <t>Cyclinder A/C</t>
  </si>
  <si>
    <t>Purchased Cyclinder for Cash - ₹ 1,040</t>
  </si>
  <si>
    <t>(Being Purchased Cyclinder for Cash)</t>
  </si>
  <si>
    <t>24.08.2026</t>
  </si>
  <si>
    <t>25.08.2026</t>
  </si>
  <si>
    <t>Television Charges A/C</t>
  </si>
  <si>
    <t>(Being Paid Television Charges)</t>
  </si>
  <si>
    <t>26.08.2026</t>
  </si>
  <si>
    <t>Diary Products A/C</t>
  </si>
  <si>
    <t>(Being Purchased Diary Products)</t>
  </si>
  <si>
    <t>27.08.2026</t>
  </si>
  <si>
    <t>Travelling Expenses A/C</t>
  </si>
  <si>
    <t>(Being Paid Travelling Expenses)</t>
  </si>
  <si>
    <t>28.08.2026</t>
  </si>
  <si>
    <t>In the book of Ledger Account for the Month ended 31th August 2026</t>
  </si>
  <si>
    <t>Cash Account</t>
  </si>
  <si>
    <t xml:space="preserve">Date </t>
  </si>
  <si>
    <t>J.F</t>
  </si>
  <si>
    <t>Amount ₹</t>
  </si>
  <si>
    <t>Amount₹</t>
  </si>
  <si>
    <t>To Salary A/C</t>
  </si>
  <si>
    <t>By House Items A/C</t>
  </si>
  <si>
    <t>By Entertainment Expenses A/C</t>
  </si>
  <si>
    <t>By Petrol A/C</t>
  </si>
  <si>
    <t>By Snacks A/C</t>
  </si>
  <si>
    <t>By Food A/C</t>
  </si>
  <si>
    <t>By Grocery A/C</t>
  </si>
  <si>
    <t>By Perishable Goods A/C</t>
  </si>
  <si>
    <t>By Vegetables A/C</t>
  </si>
  <si>
    <t>By Street Tax A/C</t>
  </si>
  <si>
    <t>By Medicine Expenses A/C</t>
  </si>
  <si>
    <t>By Water Bill A/C</t>
  </si>
  <si>
    <t>By Pershiable Goods A/C</t>
  </si>
  <si>
    <t>By Mobile Charges A/C</t>
  </si>
  <si>
    <t>By Clothes A/C</t>
  </si>
  <si>
    <t>31.08.2026</t>
  </si>
  <si>
    <t>By Balance c/d</t>
  </si>
  <si>
    <t>01.09.2026</t>
  </si>
  <si>
    <t>To Balance b/d</t>
  </si>
  <si>
    <t xml:space="preserve"> House Items Account</t>
  </si>
  <si>
    <t>To Cash A/C</t>
  </si>
  <si>
    <t>Entertainment Expenses Account</t>
  </si>
  <si>
    <t>Petrol Account</t>
  </si>
  <si>
    <t>Snacks Account</t>
  </si>
  <si>
    <t>Food Account</t>
  </si>
  <si>
    <t>Grocery Account</t>
  </si>
  <si>
    <t>Vegetables Account</t>
  </si>
  <si>
    <t>Street Tax Account</t>
  </si>
  <si>
    <t>Medicine Expenses Account</t>
  </si>
  <si>
    <t>Salary Account</t>
  </si>
  <si>
    <t>Water Bill Account</t>
  </si>
  <si>
    <t>Mobile Charges Account</t>
  </si>
  <si>
    <t>Clothes Account</t>
  </si>
  <si>
    <t>Cyclinder Account</t>
  </si>
  <si>
    <t>Television Charges Account</t>
  </si>
  <si>
    <t>Diary Products Account</t>
  </si>
  <si>
    <t>Travelling Expenses Account</t>
  </si>
  <si>
    <t>By Cyclinder A/C</t>
  </si>
  <si>
    <t>By Television Charges A/C</t>
  </si>
  <si>
    <t>By Diary Products A/C</t>
  </si>
  <si>
    <t>By Travelling Expenses A/C</t>
  </si>
  <si>
    <t>Trial Balance as on 31st August 2026</t>
  </si>
  <si>
    <t>SI.NO</t>
  </si>
  <si>
    <t>Perishable Goods Account</t>
  </si>
  <si>
    <t>Salary A/C</t>
  </si>
  <si>
    <t>To Balance c/d</t>
  </si>
  <si>
    <t>By Cash A/C</t>
  </si>
  <si>
    <t>By Balance b/d</t>
  </si>
  <si>
    <t>Total</t>
  </si>
  <si>
    <t xml:space="preserve">             -</t>
  </si>
  <si>
    <t xml:space="preserve">              -</t>
  </si>
  <si>
    <t>Income and Expenditure Account for the Month Ended 31st August 2026</t>
  </si>
  <si>
    <t>Dr.                                                                                                                                                                                                    Cr.</t>
  </si>
  <si>
    <t>Expenditure</t>
  </si>
  <si>
    <t>Income</t>
  </si>
  <si>
    <t>By Salary A/C</t>
  </si>
  <si>
    <t>To House Items A/C</t>
  </si>
  <si>
    <t>To Entertainment Expenses A/C</t>
  </si>
  <si>
    <t>To Petrol A/C</t>
  </si>
  <si>
    <t>To Snacks A/C</t>
  </si>
  <si>
    <t>To Food A/C</t>
  </si>
  <si>
    <t>To Grocery A/C</t>
  </si>
  <si>
    <t>To Perishable Goods A/C</t>
  </si>
  <si>
    <t>To Vegetables A/C</t>
  </si>
  <si>
    <t>To Street Tax A/C</t>
  </si>
  <si>
    <t>To Medicine Expenses A/C</t>
  </si>
  <si>
    <t>To Water Bill A/C</t>
  </si>
  <si>
    <t>To Mobile Charges A/C</t>
  </si>
  <si>
    <t>To Clothes A/C</t>
  </si>
  <si>
    <t>To Cyclinder A/C</t>
  </si>
  <si>
    <t>To Television Charges A/C</t>
  </si>
  <si>
    <t>To Diary Products A/C</t>
  </si>
  <si>
    <t>To Travelling Expenses A/C</t>
  </si>
  <si>
    <t>Balance Sheet as on 31st August 2026</t>
  </si>
  <si>
    <t>Liabilities</t>
  </si>
  <si>
    <t>Assets</t>
  </si>
  <si>
    <t xml:space="preserve">Capital </t>
  </si>
  <si>
    <r>
      <rPr>
        <b/>
        <sz val="14"/>
        <color theme="1"/>
        <rFont val="Times New Roman"/>
        <family val="1"/>
      </rPr>
      <t>Add :</t>
    </r>
    <r>
      <rPr>
        <sz val="14"/>
        <color theme="1"/>
        <rFont val="Times New Roman"/>
        <family val="1"/>
      </rPr>
      <t xml:space="preserve"> Surplus</t>
    </r>
  </si>
  <si>
    <t xml:space="preserve">            -</t>
  </si>
  <si>
    <t>Cash in Hand</t>
  </si>
  <si>
    <t>To Surplus (Excess of Income over Expenditure)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</si>
</sst>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" fontId="1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3" fontId="1" fillId="0" borderId="8" xfId="0" applyNumberFormat="1" applyFont="1" applyBorder="1"/>
    <xf numFmtId="3" fontId="1" fillId="0" borderId="9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14" xfId="0" applyFont="1" applyBorder="1" applyAlignment="1">
      <alignment horizontal="center"/>
    </xf>
    <xf numFmtId="3" fontId="1" fillId="0" borderId="5" xfId="0" applyNumberFormat="1" applyFont="1" applyBorder="1"/>
    <xf numFmtId="0" fontId="0" fillId="0" borderId="7" xfId="0" applyBorder="1"/>
    <xf numFmtId="0" fontId="0" fillId="0" borderId="8" xfId="0" applyBorder="1"/>
    <xf numFmtId="3" fontId="2" fillId="0" borderId="8" xfId="0" applyNumberFormat="1" applyFont="1" applyBorder="1"/>
    <xf numFmtId="3" fontId="2" fillId="0" borderId="9" xfId="0" applyNumberFormat="1" applyFont="1" applyBorder="1"/>
    <xf numFmtId="3" fontId="1" fillId="0" borderId="11" xfId="0" applyNumberFormat="1" applyFont="1" applyBorder="1"/>
    <xf numFmtId="0" fontId="2" fillId="0" borderId="8" xfId="0" applyFont="1" applyBorder="1"/>
    <xf numFmtId="0" fontId="2" fillId="0" borderId="9" xfId="0" applyFont="1" applyBorder="1"/>
    <xf numFmtId="3" fontId="1" fillId="0" borderId="6" xfId="0" applyNumberFormat="1" applyFont="1" applyBorder="1"/>
    <xf numFmtId="3" fontId="1" fillId="0" borderId="12" xfId="0" applyNumberFormat="1" applyFont="1" applyBorder="1"/>
    <xf numFmtId="0" fontId="1" fillId="0" borderId="17" xfId="0" applyFont="1" applyBorder="1"/>
    <xf numFmtId="0" fontId="2" fillId="0" borderId="18" xfId="0" applyFont="1" applyBorder="1" applyAlignment="1">
      <alignment horizontal="center"/>
    </xf>
    <xf numFmtId="3" fontId="2" fillId="0" borderId="19" xfId="0" applyNumberFormat="1" applyFont="1" applyBorder="1"/>
    <xf numFmtId="0" fontId="2" fillId="0" borderId="1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/>
    <xf numFmtId="0" fontId="2" fillId="0" borderId="23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3" fontId="1" fillId="0" borderId="16" xfId="0" applyNumberFormat="1" applyFont="1" applyBorder="1"/>
    <xf numFmtId="0" fontId="1" fillId="0" borderId="24" xfId="0" applyFont="1" applyBorder="1"/>
    <xf numFmtId="0" fontId="1" fillId="0" borderId="21" xfId="0" applyFont="1" applyBorder="1"/>
    <xf numFmtId="3" fontId="1" fillId="0" borderId="21" xfId="0" applyNumberFormat="1" applyFont="1" applyBorder="1"/>
    <xf numFmtId="3" fontId="1" fillId="0" borderId="24" xfId="0" applyNumberFormat="1" applyFont="1" applyBorder="1"/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3" fontId="1" fillId="0" borderId="7" xfId="0" applyNumberFormat="1" applyFont="1" applyBorder="1"/>
    <xf numFmtId="3" fontId="2" fillId="0" borderId="11" xfId="0" applyNumberFormat="1" applyFont="1" applyBorder="1"/>
    <xf numFmtId="3" fontId="2" fillId="0" borderId="12" xfId="0" applyNumberFormat="1" applyFont="1" applyBorder="1"/>
    <xf numFmtId="0" fontId="1" fillId="0" borderId="30" xfId="0" applyFont="1" applyBorder="1"/>
    <xf numFmtId="0" fontId="1" fillId="0" borderId="31" xfId="0" applyFont="1" applyBorder="1"/>
    <xf numFmtId="3" fontId="1" fillId="0" borderId="3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9354-BFB4-4D76-A3FB-A320E415EB63}">
  <dimension ref="A1:S1591"/>
  <sheetViews>
    <sheetView topLeftCell="A2" workbookViewId="0">
      <selection activeCell="B34" sqref="B34"/>
    </sheetView>
  </sheetViews>
  <sheetFormatPr defaultRowHeight="14.5" x14ac:dyDescent="0.35"/>
  <cols>
    <col min="2" max="2" width="72.54296875" customWidth="1"/>
  </cols>
  <sheetData>
    <row r="1" spans="1:19" ht="18" x14ac:dyDescent="0.4">
      <c r="A1" s="2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x14ac:dyDescent="0.4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" x14ac:dyDescent="0.4">
      <c r="A3" s="2" t="s">
        <v>1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" x14ac:dyDescent="0.4">
      <c r="A4" s="4">
        <v>37104</v>
      </c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8" x14ac:dyDescent="0.4">
      <c r="A5" s="4">
        <v>37469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8" x14ac:dyDescent="0.4">
      <c r="A6" s="4">
        <v>37834</v>
      </c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8" x14ac:dyDescent="0.4">
      <c r="A7" s="4">
        <v>38200</v>
      </c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8" x14ac:dyDescent="0.4">
      <c r="A8" s="4">
        <v>38565</v>
      </c>
      <c r="B8" s="1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x14ac:dyDescent="0.4">
      <c r="A9" s="4">
        <v>38930</v>
      </c>
      <c r="B9" s="1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" x14ac:dyDescent="0.4">
      <c r="A10" s="4">
        <v>39295</v>
      </c>
      <c r="B10" s="1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8" x14ac:dyDescent="0.4">
      <c r="A11" s="2" t="s">
        <v>9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" x14ac:dyDescent="0.4">
      <c r="A12" s="4">
        <v>39661</v>
      </c>
      <c r="B12" s="1" t="s">
        <v>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" x14ac:dyDescent="0.4">
      <c r="A13" s="4">
        <v>40026</v>
      </c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" x14ac:dyDescent="0.4">
      <c r="A14" s="4">
        <v>40391</v>
      </c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x14ac:dyDescent="0.4">
      <c r="A15" s="4">
        <v>40756</v>
      </c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" x14ac:dyDescent="0.4">
      <c r="A16" s="4">
        <v>41122</v>
      </c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" x14ac:dyDescent="0.4">
      <c r="A17" s="4">
        <v>41487</v>
      </c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x14ac:dyDescent="0.4">
      <c r="A18" s="4">
        <v>41852</v>
      </c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x14ac:dyDescent="0.4">
      <c r="A19" s="2" t="s">
        <v>16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" x14ac:dyDescent="0.4">
      <c r="A20" s="4">
        <v>42217</v>
      </c>
      <c r="B20" s="1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x14ac:dyDescent="0.4">
      <c r="A21" s="4">
        <v>42583</v>
      </c>
      <c r="B21" s="1" t="s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" x14ac:dyDescent="0.4">
      <c r="A22" s="4">
        <v>42948</v>
      </c>
      <c r="B22" s="1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x14ac:dyDescent="0.4">
      <c r="A23" s="4">
        <v>43313</v>
      </c>
      <c r="B23" s="1" t="s">
        <v>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x14ac:dyDescent="0.4">
      <c r="A24" s="4">
        <v>43678</v>
      </c>
      <c r="B24" s="1" t="s">
        <v>20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" x14ac:dyDescent="0.4">
      <c r="A25" s="4">
        <v>44044</v>
      </c>
      <c r="B25" s="1" t="s">
        <v>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x14ac:dyDescent="0.4">
      <c r="A26" s="4">
        <v>44409</v>
      </c>
      <c r="B26" s="1" t="s">
        <v>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" x14ac:dyDescent="0.4">
      <c r="A27" s="2" t="s">
        <v>23</v>
      </c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x14ac:dyDescent="0.4">
      <c r="A28" s="4">
        <v>44774</v>
      </c>
      <c r="B28" s="1" t="s">
        <v>24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x14ac:dyDescent="0.4">
      <c r="A29" s="4">
        <v>45139</v>
      </c>
      <c r="B29" s="1" t="s">
        <v>91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x14ac:dyDescent="0.4">
      <c r="A30" s="4">
        <v>45505</v>
      </c>
      <c r="B30" s="1" t="s">
        <v>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x14ac:dyDescent="0.4">
      <c r="A31" s="4">
        <v>45870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" x14ac:dyDescent="0.4">
      <c r="A32" s="4">
        <v>46235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x14ac:dyDescent="0.4">
      <c r="A33" s="4">
        <v>46600</v>
      </c>
      <c r="B33" s="1" t="s">
        <v>28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" x14ac:dyDescent="0.4">
      <c r="A34" s="4">
        <v>46966</v>
      </c>
      <c r="B34" s="1" t="s">
        <v>25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1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ht="1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ht="1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ht="1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ht="1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ht="1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ht="1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ht="1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ht="1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ht="1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 ht="1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 ht="1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ht="1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 ht="1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ht="1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 ht="1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 ht="1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 ht="1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ht="1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 ht="1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 ht="1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 ht="1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 ht="1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 ht="1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 ht="1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 ht="1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  <row r="1027" spans="1:19" ht="1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</row>
    <row r="1028" spans="1:19" ht="1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</row>
    <row r="1029" spans="1:19" ht="1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</row>
    <row r="1030" spans="1:19" ht="1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</row>
    <row r="1031" spans="1:19" ht="1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</row>
    <row r="1032" spans="1:19" ht="1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</row>
    <row r="1033" spans="1:19" ht="1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</row>
    <row r="1034" spans="1:19" ht="1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 ht="1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</row>
    <row r="1036" spans="1:19" ht="1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ht="1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 ht="1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</row>
    <row r="1039" spans="1:19" ht="1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</row>
    <row r="1040" spans="1:19" ht="1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</row>
    <row r="1041" spans="1:19" ht="1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</row>
    <row r="1042" spans="1:19" ht="1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</row>
    <row r="1043" spans="1:19" ht="1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</row>
    <row r="1044" spans="1:19" ht="1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</row>
    <row r="1045" spans="1:19" ht="1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</row>
    <row r="1046" spans="1:19" ht="1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</row>
    <row r="1047" spans="1:19" ht="1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</row>
    <row r="1048" spans="1:19" ht="1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</row>
    <row r="1049" spans="1:19" ht="1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</row>
    <row r="1050" spans="1:19" ht="1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</row>
    <row r="1051" spans="1:19" ht="1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</row>
    <row r="1052" spans="1:19" ht="1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</row>
    <row r="1053" spans="1:19" ht="1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</row>
    <row r="1054" spans="1:19" ht="1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</row>
    <row r="1055" spans="1:19" ht="1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</row>
    <row r="1056" spans="1:19" ht="1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</row>
    <row r="1057" spans="1:19" ht="1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</row>
    <row r="1058" spans="1:19" ht="1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</row>
    <row r="1059" spans="1:19" ht="1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</row>
    <row r="1060" spans="1:19" ht="1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</row>
    <row r="1061" spans="1:19" ht="1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</row>
    <row r="1062" spans="1:19" ht="1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</row>
    <row r="1063" spans="1:19" ht="1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</row>
    <row r="1064" spans="1:19" ht="1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</row>
    <row r="1065" spans="1:19" ht="1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</row>
    <row r="1066" spans="1:19" ht="1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</row>
    <row r="1067" spans="1:19" ht="1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</row>
    <row r="1068" spans="1:19" ht="1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</row>
    <row r="1069" spans="1:19" ht="1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</row>
    <row r="1070" spans="1:19" ht="1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</row>
    <row r="1071" spans="1:19" ht="1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</row>
    <row r="1072" spans="1:19" ht="1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</row>
    <row r="1073" spans="1:19" ht="1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</row>
    <row r="1074" spans="1:19" ht="1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</row>
    <row r="1075" spans="1:19" ht="1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</row>
    <row r="1076" spans="1:19" ht="1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</row>
    <row r="1077" spans="1:19" ht="1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</row>
    <row r="1078" spans="1:19" ht="1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</row>
    <row r="1079" spans="1:19" ht="1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</row>
    <row r="1080" spans="1:19" ht="1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</row>
    <row r="1081" spans="1:19" ht="1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</row>
    <row r="1082" spans="1:19" ht="1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</row>
    <row r="1083" spans="1:19" ht="1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</row>
    <row r="1084" spans="1:19" ht="1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</row>
    <row r="1085" spans="1:19" ht="1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</row>
    <row r="1086" spans="1:19" ht="1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</row>
    <row r="1087" spans="1:19" ht="1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</row>
    <row r="1088" spans="1:19" ht="1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</row>
    <row r="1089" spans="1:19" ht="1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</row>
    <row r="1090" spans="1:19" ht="1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</row>
    <row r="1091" spans="1:19" ht="1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</row>
    <row r="1092" spans="1:19" ht="1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</row>
    <row r="1093" spans="1:19" ht="1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</row>
    <row r="1094" spans="1:19" ht="1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</row>
    <row r="1095" spans="1:19" ht="1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</row>
    <row r="1096" spans="1:19" ht="1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spans="1:19" ht="1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</row>
    <row r="1098" spans="1:19" ht="1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</row>
    <row r="1099" spans="1:19" ht="1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</row>
    <row r="1100" spans="1:19" ht="1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</row>
    <row r="1101" spans="1:19" ht="1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</row>
    <row r="1102" spans="1:19" ht="1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</row>
    <row r="1103" spans="1:19" ht="1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spans="1:19" ht="1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</row>
    <row r="1105" spans="1:19" ht="1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</row>
    <row r="1106" spans="1:19" ht="1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</row>
    <row r="1107" spans="1:19" ht="1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</row>
    <row r="1108" spans="1:19" ht="1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</row>
    <row r="1109" spans="1:19" ht="1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</row>
    <row r="1110" spans="1:19" ht="1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spans="1:19" ht="1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</row>
    <row r="1112" spans="1:19" ht="18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</row>
    <row r="1113" spans="1:19" ht="18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</row>
    <row r="1114" spans="1:19" ht="18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</row>
    <row r="1115" spans="1:19" ht="18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</row>
    <row r="1116" spans="1:19" ht="18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</row>
    <row r="1117" spans="1:19" ht="18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 spans="1:19" ht="18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 spans="1:19" ht="18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  <row r="1120" spans="1:19" ht="18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</row>
    <row r="1121" spans="1:19" ht="18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</row>
    <row r="1122" spans="1:19" ht="18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</row>
    <row r="1123" spans="1:19" ht="18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</row>
    <row r="1124" spans="1:19" ht="18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</row>
    <row r="1125" spans="1:19" ht="18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</row>
    <row r="1126" spans="1:19" ht="18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</row>
    <row r="1127" spans="1:19" ht="18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</row>
    <row r="1128" spans="1:19" ht="18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</row>
    <row r="1129" spans="1:19" ht="18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</row>
    <row r="1130" spans="1:19" ht="18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</row>
    <row r="1131" spans="1:19" ht="18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</row>
    <row r="1132" spans="1:19" ht="18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</row>
    <row r="1133" spans="1:19" ht="18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</row>
    <row r="1134" spans="1:19" ht="18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</row>
    <row r="1135" spans="1:19" ht="18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</row>
    <row r="1136" spans="1:19" ht="18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</row>
    <row r="1137" spans="1:19" ht="18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</row>
    <row r="1138" spans="1:19" ht="18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</row>
    <row r="1139" spans="1:19" ht="18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</row>
    <row r="1140" spans="1:19" ht="18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</row>
    <row r="1141" spans="1:19" ht="18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</row>
    <row r="1142" spans="1:19" ht="18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</row>
    <row r="1143" spans="1:19" ht="18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</row>
    <row r="1144" spans="1:19" ht="18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</row>
    <row r="1145" spans="1:19" ht="18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</row>
    <row r="1146" spans="1:19" ht="18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</row>
    <row r="1147" spans="1:19" ht="18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</row>
    <row r="1148" spans="1:19" ht="18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</row>
    <row r="1149" spans="1:19" ht="18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</row>
    <row r="1150" spans="1:19" ht="18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</row>
    <row r="1151" spans="1:19" ht="18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</row>
    <row r="1152" spans="1:19" ht="18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</row>
    <row r="1153" spans="1:19" ht="18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</row>
    <row r="1154" spans="1:19" ht="18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</row>
    <row r="1155" spans="1:19" ht="18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</row>
    <row r="1156" spans="1:19" ht="18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</row>
    <row r="1157" spans="1:19" ht="18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</row>
    <row r="1158" spans="1:19" ht="18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</row>
    <row r="1159" spans="1:19" ht="18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</row>
    <row r="1160" spans="1:19" ht="18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</row>
    <row r="1161" spans="1:19" ht="18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</row>
    <row r="1162" spans="1:19" ht="18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</row>
    <row r="1163" spans="1:19" ht="18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</row>
    <row r="1164" spans="1:19" ht="18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</row>
    <row r="1165" spans="1:19" ht="18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</row>
    <row r="1166" spans="1:19" ht="18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</row>
    <row r="1167" spans="1:19" ht="18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</row>
    <row r="1168" spans="1:19" ht="18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</row>
    <row r="1169" spans="1:19" ht="18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</row>
    <row r="1170" spans="1:19" ht="18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</row>
    <row r="1171" spans="1:19" ht="18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</row>
    <row r="1172" spans="1:19" ht="18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</row>
    <row r="1173" spans="1:19" ht="18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</row>
    <row r="1174" spans="1:19" ht="18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</row>
    <row r="1175" spans="1:19" ht="18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</row>
    <row r="1176" spans="1:19" ht="18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</row>
    <row r="1177" spans="1:19" ht="18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</row>
    <row r="1178" spans="1:19" ht="18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</row>
    <row r="1179" spans="1:19" ht="18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</row>
    <row r="1180" spans="1:19" ht="18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</row>
    <row r="1181" spans="1:19" ht="18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</row>
    <row r="1182" spans="1:19" ht="18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</row>
    <row r="1183" spans="1:19" ht="18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</row>
    <row r="1184" spans="1:19" ht="18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</row>
    <row r="1185" spans="1:19" ht="18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</row>
    <row r="1186" spans="1:19" ht="18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</row>
    <row r="1187" spans="1:19" ht="18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</row>
    <row r="1188" spans="1:19" ht="18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</row>
    <row r="1189" spans="1:19" ht="18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</row>
    <row r="1190" spans="1:19" ht="18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</row>
    <row r="1191" spans="1:19" ht="18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</row>
    <row r="1192" spans="1:19" ht="18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</row>
    <row r="1193" spans="1:19" ht="18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</row>
    <row r="1194" spans="1:19" ht="18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</row>
    <row r="1195" spans="1:19" ht="18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</row>
    <row r="1196" spans="1:19" ht="18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</row>
    <row r="1197" spans="1:19" ht="18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</row>
    <row r="1198" spans="1:19" ht="18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</row>
    <row r="1199" spans="1:19" ht="18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</row>
    <row r="1200" spans="1:19" ht="18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</row>
    <row r="1201" spans="1:19" ht="18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</row>
    <row r="1202" spans="1:19" ht="18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</row>
    <row r="1203" spans="1:19" ht="18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</row>
    <row r="1204" spans="1:19" ht="18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</row>
    <row r="1205" spans="1:19" ht="18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</row>
    <row r="1206" spans="1:19" ht="18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</row>
    <row r="1207" spans="1:19" ht="18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</row>
    <row r="1208" spans="1:19" ht="18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</row>
    <row r="1209" spans="1:19" ht="18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</row>
    <row r="1210" spans="1:19" ht="18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</row>
    <row r="1211" spans="1:19" ht="18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</row>
    <row r="1212" spans="1:19" ht="18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</row>
    <row r="1213" spans="1:19" ht="18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</row>
    <row r="1214" spans="1:19" ht="18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</row>
    <row r="1215" spans="1:19" ht="18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</row>
    <row r="1216" spans="1:19" ht="18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</row>
    <row r="1217" spans="1:19" ht="18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</row>
    <row r="1218" spans="1:19" ht="18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</row>
    <row r="1219" spans="1:19" ht="18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</row>
    <row r="1220" spans="1:19" ht="18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</row>
    <row r="1221" spans="1:19" ht="18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</row>
    <row r="1222" spans="1:19" ht="18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</row>
    <row r="1223" spans="1:19" ht="18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</row>
    <row r="1224" spans="1:19" ht="18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</row>
    <row r="1225" spans="1:19" ht="18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</row>
    <row r="1226" spans="1:19" ht="18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</row>
    <row r="1227" spans="1:19" ht="18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</row>
    <row r="1228" spans="1:19" ht="18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</row>
    <row r="1229" spans="1:19" ht="18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</row>
    <row r="1230" spans="1:19" ht="18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</row>
    <row r="1231" spans="1:19" ht="18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</row>
    <row r="1232" spans="1:19" ht="18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</row>
    <row r="1233" spans="1:19" ht="18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</row>
    <row r="1234" spans="1:19" ht="18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</row>
    <row r="1235" spans="1:19" ht="18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</row>
    <row r="1236" spans="1:19" ht="18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</row>
    <row r="1237" spans="1:19" ht="18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</row>
    <row r="1238" spans="1:19" ht="18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</row>
    <row r="1239" spans="1:19" ht="18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</row>
    <row r="1240" spans="1:19" ht="18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</row>
    <row r="1241" spans="1:19" ht="18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</row>
    <row r="1242" spans="1:19" ht="18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</row>
    <row r="1243" spans="1:19" ht="18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</row>
    <row r="1244" spans="1:19" ht="18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</row>
    <row r="1245" spans="1:19" ht="18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</row>
    <row r="1246" spans="1:19" ht="18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</row>
    <row r="1247" spans="1:19" ht="18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</row>
    <row r="1248" spans="1:19" ht="18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</row>
    <row r="1249" spans="1:19" ht="18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</row>
    <row r="1250" spans="1:19" ht="18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</row>
    <row r="1251" spans="1:19" ht="18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</row>
    <row r="1252" spans="1:19" ht="18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</row>
    <row r="1253" spans="1:19" ht="18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</row>
    <row r="1254" spans="1:19" ht="18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</row>
    <row r="1255" spans="1:19" ht="18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</row>
    <row r="1256" spans="1:19" ht="18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</row>
    <row r="1257" spans="1:19" ht="18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</row>
    <row r="1258" spans="1:19" ht="18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</row>
    <row r="1259" spans="1:19" ht="18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</row>
    <row r="1260" spans="1:19" ht="18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</row>
    <row r="1261" spans="1:19" ht="18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</row>
    <row r="1262" spans="1:19" ht="18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</row>
    <row r="1263" spans="1:19" ht="18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</row>
    <row r="1264" spans="1:19" ht="18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</row>
    <row r="1265" spans="1:19" ht="18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</row>
    <row r="1266" spans="1:19" ht="18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</row>
    <row r="1267" spans="1:19" ht="18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</row>
    <row r="1268" spans="1:19" ht="18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</row>
    <row r="1269" spans="1:19" ht="18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</row>
    <row r="1270" spans="1:19" ht="18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</row>
    <row r="1271" spans="1:19" ht="18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</row>
    <row r="1272" spans="1:19" ht="18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</row>
    <row r="1273" spans="1:19" ht="18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</row>
    <row r="1274" spans="1:19" ht="18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</row>
    <row r="1275" spans="1:19" ht="18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</row>
    <row r="1276" spans="1:19" ht="18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</row>
    <row r="1277" spans="1:19" ht="18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</row>
    <row r="1278" spans="1:19" ht="18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</row>
    <row r="1279" spans="1:19" ht="18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</row>
    <row r="1280" spans="1:19" ht="18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</row>
    <row r="1281" spans="1:19" ht="18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</row>
    <row r="1282" spans="1:19" ht="18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</row>
    <row r="1283" spans="1:19" ht="18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</row>
    <row r="1284" spans="1:19" ht="18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</row>
    <row r="1285" spans="1:19" ht="18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</row>
    <row r="1286" spans="1:19" ht="18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</row>
    <row r="1287" spans="1:19" ht="18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</row>
    <row r="1288" spans="1:19" ht="18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</row>
    <row r="1289" spans="1:19" ht="18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</row>
    <row r="1290" spans="1:19" ht="18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</row>
    <row r="1291" spans="1:19" ht="18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</row>
    <row r="1292" spans="1:19" ht="18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</row>
    <row r="1293" spans="1:19" ht="18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</row>
    <row r="1294" spans="1:19" ht="18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</row>
    <row r="1295" spans="1:19" ht="18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</row>
    <row r="1296" spans="1:19" ht="18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</row>
    <row r="1297" spans="1:19" ht="18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</row>
    <row r="1298" spans="1:19" ht="18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</row>
    <row r="1299" spans="1:19" ht="18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</row>
    <row r="1300" spans="1:19" ht="18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</row>
    <row r="1301" spans="1:19" ht="18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</row>
    <row r="1302" spans="1:19" ht="18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</row>
    <row r="1303" spans="1:19" ht="18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</row>
    <row r="1304" spans="1:19" ht="18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</row>
    <row r="1305" spans="1:19" ht="18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</row>
    <row r="1306" spans="1:19" ht="18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</row>
    <row r="1307" spans="1:19" ht="18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</row>
    <row r="1308" spans="1:19" ht="18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</row>
    <row r="1309" spans="1:19" ht="18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</row>
    <row r="1310" spans="1:19" ht="18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</row>
    <row r="1311" spans="1:19" ht="18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</row>
    <row r="1312" spans="1:19" ht="18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</row>
    <row r="1313" spans="1:19" ht="18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</row>
    <row r="1314" spans="1:19" ht="18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</row>
    <row r="1315" spans="1:19" ht="18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</row>
    <row r="1316" spans="1:19" ht="18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</row>
    <row r="1317" spans="1:19" ht="18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</row>
    <row r="1318" spans="1:19" ht="18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</row>
    <row r="1319" spans="1:19" ht="18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</row>
    <row r="1320" spans="1:19" ht="18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</row>
    <row r="1321" spans="1:19" ht="18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</row>
    <row r="1322" spans="1:19" ht="18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</row>
    <row r="1323" spans="1:19" ht="18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</row>
    <row r="1324" spans="1:19" ht="18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</row>
    <row r="1325" spans="1:19" ht="18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</row>
    <row r="1326" spans="1:19" ht="18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</row>
    <row r="1327" spans="1:19" ht="18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</row>
    <row r="1328" spans="1:19" ht="18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</row>
    <row r="1329" spans="1:19" ht="18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</row>
    <row r="1330" spans="1:19" ht="18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</row>
    <row r="1331" spans="1:19" ht="18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</row>
    <row r="1332" spans="1:19" ht="18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</row>
    <row r="1333" spans="1:19" ht="18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</row>
    <row r="1334" spans="1:19" ht="18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</row>
    <row r="1335" spans="1:19" ht="18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</row>
    <row r="1336" spans="1:19" ht="18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</row>
    <row r="1337" spans="1:19" ht="18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</row>
    <row r="1338" spans="1:19" ht="18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</row>
    <row r="1339" spans="1:19" ht="18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</row>
    <row r="1340" spans="1:19" ht="18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</row>
    <row r="1341" spans="1:19" ht="18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</row>
    <row r="1342" spans="1:19" ht="18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</row>
    <row r="1343" spans="1:19" ht="18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</row>
    <row r="1344" spans="1:19" ht="18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</row>
    <row r="1345" spans="1:19" ht="18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</row>
    <row r="1346" spans="1:19" ht="18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</row>
    <row r="1347" spans="1:19" ht="18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</row>
    <row r="1348" spans="1:19" ht="18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</row>
    <row r="1349" spans="1:19" ht="18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</row>
    <row r="1350" spans="1:19" ht="18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</row>
    <row r="1351" spans="1:19" ht="18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</row>
    <row r="1352" spans="1:19" ht="18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</row>
    <row r="1353" spans="1:19" ht="18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</row>
    <row r="1354" spans="1:19" ht="18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</row>
    <row r="1355" spans="1:19" ht="18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</row>
    <row r="1356" spans="1:19" ht="18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</row>
    <row r="1357" spans="1:19" ht="18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</row>
    <row r="1358" spans="1:19" ht="18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</row>
    <row r="1359" spans="1:19" ht="18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</row>
    <row r="1360" spans="1:19" ht="18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</row>
    <row r="1361" spans="1:19" ht="18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</row>
    <row r="1362" spans="1:19" ht="18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</row>
    <row r="1363" spans="1:19" ht="18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</row>
    <row r="1364" spans="1:19" ht="18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</row>
    <row r="1365" spans="1:19" ht="18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</row>
    <row r="1366" spans="1:19" ht="18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</row>
    <row r="1367" spans="1:19" ht="18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</row>
    <row r="1368" spans="1:19" ht="18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</row>
    <row r="1369" spans="1:19" ht="18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</row>
    <row r="1370" spans="1:19" ht="18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</row>
    <row r="1371" spans="1:19" ht="18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</row>
    <row r="1372" spans="1:19" ht="18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</row>
    <row r="1373" spans="1:19" ht="18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</row>
    <row r="1374" spans="1:19" ht="18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</row>
    <row r="1375" spans="1:19" ht="18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</row>
    <row r="1376" spans="1:19" ht="18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</row>
    <row r="1377" spans="1:19" ht="18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</row>
    <row r="1378" spans="1:19" ht="18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</row>
    <row r="1379" spans="1:19" ht="18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</row>
    <row r="1380" spans="1:19" ht="18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</row>
    <row r="1381" spans="1:19" ht="18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</row>
    <row r="1382" spans="1:19" ht="18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</row>
    <row r="1383" spans="1:19" ht="18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</row>
    <row r="1384" spans="1:19" ht="18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</row>
    <row r="1385" spans="1:19" ht="18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</row>
    <row r="1386" spans="1:19" ht="18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</row>
    <row r="1387" spans="1:19" ht="18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</row>
    <row r="1388" spans="1:19" ht="18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</row>
    <row r="1389" spans="1:19" ht="18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</row>
    <row r="1390" spans="1:19" ht="18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</row>
    <row r="1391" spans="1:19" ht="18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</row>
    <row r="1392" spans="1:19" ht="18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</row>
    <row r="1393" spans="1:19" ht="18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</row>
    <row r="1394" spans="1:19" ht="18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</row>
    <row r="1395" spans="1:19" ht="18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</row>
    <row r="1396" spans="1:19" ht="18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</row>
    <row r="1397" spans="1:19" ht="18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</row>
    <row r="1398" spans="1:19" ht="18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</row>
    <row r="1399" spans="1:19" ht="18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</row>
    <row r="1400" spans="1:19" ht="18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</row>
    <row r="1401" spans="1:19" ht="18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</row>
    <row r="1402" spans="1:19" ht="18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</row>
    <row r="1403" spans="1:19" ht="18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</row>
    <row r="1404" spans="1:19" ht="18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</row>
    <row r="1405" spans="1:19" ht="18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</row>
    <row r="1406" spans="1:19" ht="18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</row>
    <row r="1407" spans="1:19" ht="18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</row>
    <row r="1408" spans="1:19" ht="18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</row>
    <row r="1409" spans="1:19" ht="18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</row>
    <row r="1410" spans="1:19" ht="18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</row>
    <row r="1411" spans="1:19" ht="18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</row>
    <row r="1412" spans="1:19" ht="18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</row>
    <row r="1413" spans="1:19" ht="18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</row>
    <row r="1414" spans="1:19" ht="18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</row>
    <row r="1415" spans="1:19" ht="18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</row>
    <row r="1416" spans="1:19" ht="18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</row>
    <row r="1417" spans="1:19" ht="18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</row>
    <row r="1418" spans="1:19" ht="18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</row>
    <row r="1419" spans="1:19" ht="18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</row>
    <row r="1420" spans="1:19" ht="18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</row>
    <row r="1421" spans="1:19" ht="18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</row>
    <row r="1422" spans="1:19" ht="18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</row>
    <row r="1423" spans="1:19" ht="18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</row>
    <row r="1424" spans="1:19" ht="18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</row>
    <row r="1425" spans="1:19" ht="18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</row>
    <row r="1426" spans="1:19" ht="18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</row>
    <row r="1427" spans="1:19" ht="18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</row>
    <row r="1428" spans="1:19" ht="18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</row>
    <row r="1429" spans="1:19" ht="18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</row>
    <row r="1430" spans="1:19" ht="18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</row>
    <row r="1431" spans="1:19" ht="18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</row>
    <row r="1432" spans="1:19" ht="18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</row>
    <row r="1433" spans="1:19" ht="18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</row>
    <row r="1434" spans="1:19" ht="18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</row>
    <row r="1435" spans="1:19" ht="18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</row>
    <row r="1436" spans="1:19" ht="18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</row>
    <row r="1437" spans="1:19" ht="18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</row>
    <row r="1438" spans="1:19" ht="18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</row>
    <row r="1439" spans="1:19" ht="18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</row>
    <row r="1440" spans="1:19" ht="18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</row>
    <row r="1441" spans="1:19" ht="18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</row>
    <row r="1442" spans="1:19" ht="18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</row>
    <row r="1443" spans="1:19" ht="18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</row>
    <row r="1444" spans="1:19" ht="18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</row>
    <row r="1445" spans="1:19" ht="18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</row>
    <row r="1446" spans="1:19" ht="18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</row>
    <row r="1447" spans="1:19" ht="18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</row>
    <row r="1448" spans="1:19" ht="18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</row>
    <row r="1449" spans="1:19" ht="18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</row>
    <row r="1450" spans="1:19" ht="18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</row>
    <row r="1451" spans="1:19" ht="18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</row>
    <row r="1452" spans="1:19" ht="18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</row>
    <row r="1453" spans="1:19" ht="18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</row>
    <row r="1454" spans="1:19" ht="18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</row>
    <row r="1455" spans="1:19" ht="18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</row>
    <row r="1456" spans="1:19" ht="18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</row>
    <row r="1457" spans="1:19" ht="18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</row>
    <row r="1458" spans="1:19" ht="18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</row>
    <row r="1459" spans="1:19" ht="18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</row>
    <row r="1460" spans="1:19" ht="18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</row>
    <row r="1461" spans="1:19" ht="18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</row>
    <row r="1462" spans="1:19" ht="18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</row>
    <row r="1463" spans="1:19" ht="18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</row>
    <row r="1464" spans="1:19" ht="18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</row>
    <row r="1465" spans="1:19" ht="18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</row>
    <row r="1466" spans="1:19" ht="18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</row>
    <row r="1467" spans="1:19" ht="18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</row>
    <row r="1468" spans="1:19" ht="18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</row>
    <row r="1469" spans="1:19" ht="18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</row>
    <row r="1470" spans="1:19" ht="18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</row>
    <row r="1471" spans="1:19" ht="18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</row>
    <row r="1472" spans="1:19" ht="18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</row>
    <row r="1473" spans="1:19" ht="18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</row>
    <row r="1474" spans="1:19" ht="18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</row>
    <row r="1475" spans="1:19" ht="18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</row>
    <row r="1476" spans="1:19" ht="18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</row>
    <row r="1477" spans="1:19" ht="18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</row>
    <row r="1478" spans="1:19" ht="18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</row>
    <row r="1479" spans="1:19" ht="18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</row>
    <row r="1480" spans="1:19" ht="18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</row>
    <row r="1481" spans="1:19" ht="18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</row>
    <row r="1482" spans="1:19" ht="18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</row>
    <row r="1483" spans="1:19" ht="18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</row>
    <row r="1484" spans="1:19" ht="18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</row>
    <row r="1485" spans="1:19" ht="18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</row>
    <row r="1486" spans="1:19" ht="18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</row>
    <row r="1487" spans="1:19" ht="18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</row>
    <row r="1488" spans="1:19" ht="18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</row>
    <row r="1489" spans="1:19" ht="18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</row>
    <row r="1490" spans="1:19" ht="18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</row>
    <row r="1491" spans="1:19" ht="18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</row>
    <row r="1492" spans="1:19" ht="18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</row>
    <row r="1493" spans="1:19" ht="18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</row>
    <row r="1494" spans="1:19" ht="18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</row>
    <row r="1495" spans="1:19" ht="18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</row>
    <row r="1496" spans="1:19" ht="18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</row>
    <row r="1497" spans="1:19" ht="18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</row>
    <row r="1498" spans="1:19" ht="18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</row>
    <row r="1499" spans="1:19" ht="18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</row>
    <row r="1500" spans="1:19" ht="18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</row>
    <row r="1501" spans="1:19" ht="18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</row>
    <row r="1502" spans="1:19" ht="18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</row>
    <row r="1503" spans="1:19" ht="18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</row>
    <row r="1504" spans="1:19" ht="18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</row>
    <row r="1505" spans="1:19" ht="18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</row>
    <row r="1506" spans="1:19" ht="18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</row>
    <row r="1507" spans="1:19" ht="18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</row>
    <row r="1508" spans="1:19" ht="18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</row>
    <row r="1509" spans="1:19" ht="18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</row>
    <row r="1510" spans="1:19" ht="18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</row>
    <row r="1511" spans="1:19" ht="18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</row>
    <row r="1512" spans="1:19" ht="18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</row>
    <row r="1513" spans="1:19" ht="18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</row>
    <row r="1514" spans="1:19" ht="18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</row>
    <row r="1515" spans="1:19" ht="18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</row>
    <row r="1516" spans="1:19" ht="18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</row>
    <row r="1517" spans="1:19" ht="18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</row>
    <row r="1518" spans="1:19" ht="18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</row>
    <row r="1519" spans="1:19" ht="18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</row>
    <row r="1520" spans="1:19" ht="18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</row>
    <row r="1521" spans="1:19" ht="18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</row>
    <row r="1522" spans="1:19" ht="18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</row>
    <row r="1523" spans="1:19" ht="18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</row>
    <row r="1524" spans="1:19" ht="18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</row>
    <row r="1525" spans="1:19" ht="18" x14ac:dyDescent="0.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</row>
    <row r="1526" spans="1:19" ht="18" x14ac:dyDescent="0.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</row>
    <row r="1527" spans="1:19" ht="18" x14ac:dyDescent="0.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</row>
    <row r="1528" spans="1:19" ht="18" x14ac:dyDescent="0.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</row>
    <row r="1529" spans="1:19" ht="18" x14ac:dyDescent="0.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</row>
    <row r="1530" spans="1:19" ht="18" x14ac:dyDescent="0.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</row>
    <row r="1531" spans="1:19" ht="18" x14ac:dyDescent="0.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</row>
    <row r="1532" spans="1:19" ht="18" x14ac:dyDescent="0.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</row>
    <row r="1533" spans="1:19" ht="18" x14ac:dyDescent="0.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</row>
    <row r="1534" spans="1:19" ht="18" x14ac:dyDescent="0.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</row>
    <row r="1535" spans="1:19" ht="18" x14ac:dyDescent="0.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</row>
    <row r="1536" spans="1:19" ht="18" x14ac:dyDescent="0.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</row>
    <row r="1537" spans="1:19" ht="18" x14ac:dyDescent="0.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</row>
    <row r="1538" spans="1:19" ht="18" x14ac:dyDescent="0.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</row>
    <row r="1539" spans="1:19" ht="18" x14ac:dyDescent="0.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</row>
    <row r="1540" spans="1:19" ht="18" x14ac:dyDescent="0.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</row>
    <row r="1541" spans="1:19" ht="18" x14ac:dyDescent="0.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</row>
    <row r="1542" spans="1:19" ht="18" x14ac:dyDescent="0.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</row>
    <row r="1543" spans="1:19" ht="18" x14ac:dyDescent="0.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</row>
    <row r="1544" spans="1:19" ht="18" x14ac:dyDescent="0.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</row>
    <row r="1545" spans="1:19" ht="18" x14ac:dyDescent="0.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</row>
    <row r="1546" spans="1:19" ht="18" x14ac:dyDescent="0.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</row>
    <row r="1547" spans="1:19" ht="18" x14ac:dyDescent="0.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</row>
    <row r="1548" spans="1:19" ht="18" x14ac:dyDescent="0.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</row>
    <row r="1549" spans="1:19" ht="18" x14ac:dyDescent="0.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</row>
    <row r="1550" spans="1:19" ht="18" x14ac:dyDescent="0.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</row>
    <row r="1551" spans="1:19" ht="18" x14ac:dyDescent="0.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</row>
    <row r="1552" spans="1:19" ht="18" x14ac:dyDescent="0.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</row>
    <row r="1553" spans="1:19" ht="18" x14ac:dyDescent="0.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</row>
    <row r="1554" spans="1:19" ht="18" x14ac:dyDescent="0.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</row>
    <row r="1555" spans="1:19" ht="18" x14ac:dyDescent="0.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</row>
    <row r="1556" spans="1:19" ht="18" x14ac:dyDescent="0.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</row>
    <row r="1557" spans="1:19" ht="18" x14ac:dyDescent="0.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</row>
    <row r="1558" spans="1:19" ht="18" x14ac:dyDescent="0.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</row>
    <row r="1559" spans="1:19" ht="18" x14ac:dyDescent="0.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</row>
    <row r="1560" spans="1:19" ht="18" x14ac:dyDescent="0.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</row>
    <row r="1561" spans="1:19" ht="18" x14ac:dyDescent="0.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</row>
    <row r="1562" spans="1:19" ht="18" x14ac:dyDescent="0.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</row>
    <row r="1563" spans="1:19" ht="18" x14ac:dyDescent="0.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</row>
    <row r="1564" spans="1:19" ht="18" x14ac:dyDescent="0.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</row>
    <row r="1565" spans="1:19" ht="18" x14ac:dyDescent="0.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</row>
    <row r="1566" spans="1:19" ht="18" x14ac:dyDescent="0.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</row>
    <row r="1567" spans="1:19" ht="18" x14ac:dyDescent="0.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</row>
    <row r="1568" spans="1:19" ht="18" x14ac:dyDescent="0.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</row>
    <row r="1569" spans="1:19" ht="18" x14ac:dyDescent="0.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</row>
    <row r="1570" spans="1:19" ht="18" x14ac:dyDescent="0.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</row>
    <row r="1571" spans="1:19" ht="18" x14ac:dyDescent="0.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</row>
    <row r="1572" spans="1:19" ht="18" x14ac:dyDescent="0.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</row>
    <row r="1573" spans="1:19" ht="18" x14ac:dyDescent="0.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</row>
    <row r="1574" spans="1:19" ht="18" x14ac:dyDescent="0.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</row>
    <row r="1575" spans="1:19" ht="18" x14ac:dyDescent="0.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</row>
    <row r="1576" spans="1:19" ht="18" x14ac:dyDescent="0.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</row>
    <row r="1577" spans="1:19" ht="18" x14ac:dyDescent="0.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</row>
    <row r="1578" spans="1:19" ht="18" x14ac:dyDescent="0.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</row>
    <row r="1579" spans="1:19" ht="18" x14ac:dyDescent="0.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</row>
    <row r="1580" spans="1:19" ht="18" x14ac:dyDescent="0.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</row>
    <row r="1581" spans="1:19" ht="18" x14ac:dyDescent="0.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</row>
    <row r="1582" spans="1:19" ht="18" x14ac:dyDescent="0.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</row>
    <row r="1583" spans="1:19" ht="18" x14ac:dyDescent="0.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</row>
    <row r="1584" spans="1:19" ht="18" x14ac:dyDescent="0.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</row>
    <row r="1585" spans="1:19" ht="18" x14ac:dyDescent="0.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</row>
    <row r="1586" spans="1:19" ht="18" x14ac:dyDescent="0.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</row>
    <row r="1587" spans="1:19" ht="18" x14ac:dyDescent="0.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</row>
    <row r="1588" spans="1:19" ht="18" x14ac:dyDescent="0.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</row>
    <row r="1589" spans="1:19" ht="18" x14ac:dyDescent="0.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</row>
    <row r="1590" spans="1:19" ht="18" x14ac:dyDescent="0.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</row>
    <row r="1591" spans="1:19" ht="18" x14ac:dyDescent="0.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</row>
  </sheetData>
  <mergeCells count="5">
    <mergeCell ref="A1:B1"/>
    <mergeCell ref="A3:B3"/>
    <mergeCell ref="A11:B11"/>
    <mergeCell ref="A19:B19"/>
    <mergeCell ref="A27:B2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92ED-4AE5-4AC2-AABF-A63778BA2739}">
  <dimension ref="A1:S2005"/>
  <sheetViews>
    <sheetView workbookViewId="0">
      <selection activeCell="A73" sqref="A73"/>
    </sheetView>
  </sheetViews>
  <sheetFormatPr defaultRowHeight="14.5" x14ac:dyDescent="0.35"/>
  <cols>
    <col min="1" max="1" width="13.7265625" customWidth="1"/>
    <col min="2" max="2" width="43.81640625" customWidth="1"/>
    <col min="3" max="3" width="5.08984375" customWidth="1"/>
    <col min="5" max="5" width="12.81640625" customWidth="1"/>
    <col min="6" max="6" width="12.6328125" customWidth="1"/>
  </cols>
  <sheetData>
    <row r="1" spans="1:19" ht="18" x14ac:dyDescent="0.4">
      <c r="A1" s="2" t="s">
        <v>29</v>
      </c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5" thickBot="1" x14ac:dyDescent="0.45">
      <c r="A3" s="5" t="s">
        <v>30</v>
      </c>
      <c r="B3" s="6" t="s">
        <v>31</v>
      </c>
      <c r="C3" s="6"/>
      <c r="D3" s="6" t="s">
        <v>32</v>
      </c>
      <c r="E3" s="6" t="s">
        <v>33</v>
      </c>
      <c r="F3" s="7" t="s">
        <v>34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" x14ac:dyDescent="0.4">
      <c r="A4" s="8" t="s">
        <v>35</v>
      </c>
      <c r="B4" s="9" t="s">
        <v>36</v>
      </c>
      <c r="C4" s="9" t="s">
        <v>37</v>
      </c>
      <c r="D4" s="9"/>
      <c r="E4" s="9">
        <v>300</v>
      </c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8" x14ac:dyDescent="0.4">
      <c r="A5" s="11"/>
      <c r="B5" s="12" t="s">
        <v>38</v>
      </c>
      <c r="C5" s="12"/>
      <c r="D5" s="12"/>
      <c r="E5" s="12"/>
      <c r="F5" s="13">
        <v>300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8" x14ac:dyDescent="0.4">
      <c r="A6" s="11"/>
      <c r="B6" s="12" t="s">
        <v>39</v>
      </c>
      <c r="C6" s="12"/>
      <c r="D6" s="12"/>
      <c r="E6" s="12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8" x14ac:dyDescent="0.4">
      <c r="A7" s="11" t="s">
        <v>40</v>
      </c>
      <c r="B7" s="12" t="s">
        <v>41</v>
      </c>
      <c r="C7" s="12" t="s">
        <v>37</v>
      </c>
      <c r="D7" s="12"/>
      <c r="E7" s="12">
        <v>450</v>
      </c>
      <c r="F7" s="1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8" x14ac:dyDescent="0.4">
      <c r="A8" s="11"/>
      <c r="B8" s="12" t="s">
        <v>38</v>
      </c>
      <c r="C8" s="12"/>
      <c r="D8" s="12"/>
      <c r="E8" s="12"/>
      <c r="F8" s="13">
        <v>450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x14ac:dyDescent="0.4">
      <c r="A9" s="11"/>
      <c r="B9" s="12" t="s">
        <v>42</v>
      </c>
      <c r="C9" s="12"/>
      <c r="D9" s="12"/>
      <c r="E9" s="12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" x14ac:dyDescent="0.4">
      <c r="A10" s="11" t="s">
        <v>43</v>
      </c>
      <c r="B10" s="12" t="s">
        <v>44</v>
      </c>
      <c r="C10" s="12" t="s">
        <v>37</v>
      </c>
      <c r="D10" s="12"/>
      <c r="E10" s="12">
        <v>50</v>
      </c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8" x14ac:dyDescent="0.4">
      <c r="A11" s="11"/>
      <c r="B11" s="12" t="s">
        <v>38</v>
      </c>
      <c r="C11" s="12"/>
      <c r="D11" s="12"/>
      <c r="E11" s="12"/>
      <c r="F11" s="13">
        <v>50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" x14ac:dyDescent="0.4">
      <c r="A12" s="11"/>
      <c r="B12" s="12" t="s">
        <v>45</v>
      </c>
      <c r="C12" s="12"/>
      <c r="D12" s="12"/>
      <c r="E12" s="12"/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" x14ac:dyDescent="0.4">
      <c r="A13" s="11" t="s">
        <v>46</v>
      </c>
      <c r="B13" s="12" t="s">
        <v>47</v>
      </c>
      <c r="C13" s="12" t="s">
        <v>37</v>
      </c>
      <c r="D13" s="12"/>
      <c r="E13" s="12">
        <v>330</v>
      </c>
      <c r="F13" s="1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" x14ac:dyDescent="0.4">
      <c r="A14" s="11"/>
      <c r="B14" s="12" t="s">
        <v>38</v>
      </c>
      <c r="C14" s="12"/>
      <c r="D14" s="12"/>
      <c r="E14" s="12"/>
      <c r="F14" s="13">
        <v>330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x14ac:dyDescent="0.4">
      <c r="A15" s="11"/>
      <c r="B15" s="12" t="s">
        <v>48</v>
      </c>
      <c r="C15" s="12"/>
      <c r="D15" s="12"/>
      <c r="E15" s="12"/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" x14ac:dyDescent="0.4">
      <c r="A16" s="11" t="s">
        <v>49</v>
      </c>
      <c r="B16" s="12" t="s">
        <v>50</v>
      </c>
      <c r="C16" s="12" t="s">
        <v>37</v>
      </c>
      <c r="D16" s="12"/>
      <c r="E16" s="12">
        <v>400</v>
      </c>
      <c r="F16" s="1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" x14ac:dyDescent="0.4">
      <c r="A17" s="11"/>
      <c r="B17" s="12" t="s">
        <v>38</v>
      </c>
      <c r="C17" s="12"/>
      <c r="D17" s="12"/>
      <c r="E17" s="12"/>
      <c r="F17" s="13">
        <v>400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x14ac:dyDescent="0.4">
      <c r="A18" s="11"/>
      <c r="B18" s="12" t="s">
        <v>51</v>
      </c>
      <c r="C18" s="12"/>
      <c r="D18" s="12"/>
      <c r="E18" s="12"/>
      <c r="F18" s="1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x14ac:dyDescent="0.4">
      <c r="A19" s="11" t="s">
        <v>52</v>
      </c>
      <c r="B19" s="12" t="s">
        <v>53</v>
      </c>
      <c r="C19" s="12" t="s">
        <v>37</v>
      </c>
      <c r="D19" s="12"/>
      <c r="E19" s="12">
        <v>350</v>
      </c>
      <c r="F19" s="1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" x14ac:dyDescent="0.4">
      <c r="A20" s="11"/>
      <c r="B20" s="12" t="s">
        <v>38</v>
      </c>
      <c r="C20" s="12"/>
      <c r="D20" s="12"/>
      <c r="E20" s="12"/>
      <c r="F20" s="13">
        <v>350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x14ac:dyDescent="0.4">
      <c r="A21" s="11"/>
      <c r="B21" s="12" t="s">
        <v>54</v>
      </c>
      <c r="C21" s="12"/>
      <c r="D21" s="12"/>
      <c r="E21" s="12"/>
      <c r="F21" s="1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" x14ac:dyDescent="0.4">
      <c r="A22" s="11" t="s">
        <v>55</v>
      </c>
      <c r="B22" s="12" t="s">
        <v>56</v>
      </c>
      <c r="C22" s="12" t="s">
        <v>37</v>
      </c>
      <c r="D22" s="12"/>
      <c r="E22" s="12">
        <v>500</v>
      </c>
      <c r="F22" s="1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x14ac:dyDescent="0.4">
      <c r="A23" s="11"/>
      <c r="B23" s="12" t="s">
        <v>38</v>
      </c>
      <c r="C23" s="12"/>
      <c r="D23" s="12"/>
      <c r="E23" s="12"/>
      <c r="F23" s="13">
        <v>500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x14ac:dyDescent="0.4">
      <c r="A24" s="11"/>
      <c r="B24" s="12" t="s">
        <v>57</v>
      </c>
      <c r="C24" s="12"/>
      <c r="D24" s="12"/>
      <c r="E24" s="12"/>
      <c r="F24" s="1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" x14ac:dyDescent="0.4">
      <c r="A25" s="11" t="s">
        <v>58</v>
      </c>
      <c r="B25" s="12" t="s">
        <v>44</v>
      </c>
      <c r="C25" s="12" t="s">
        <v>37</v>
      </c>
      <c r="D25" s="12"/>
      <c r="E25" s="12">
        <v>50</v>
      </c>
      <c r="F25" s="1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x14ac:dyDescent="0.4">
      <c r="A26" s="11"/>
      <c r="B26" s="12" t="s">
        <v>38</v>
      </c>
      <c r="C26" s="12"/>
      <c r="D26" s="12"/>
      <c r="E26" s="12"/>
      <c r="F26" s="13">
        <v>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" x14ac:dyDescent="0.4">
      <c r="A27" s="11"/>
      <c r="B27" s="12" t="s">
        <v>45</v>
      </c>
      <c r="C27" s="12"/>
      <c r="D27" s="12"/>
      <c r="E27" s="12"/>
      <c r="F27" s="1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x14ac:dyDescent="0.4">
      <c r="A28" s="11" t="s">
        <v>59</v>
      </c>
      <c r="B28" s="12" t="s">
        <v>53</v>
      </c>
      <c r="C28" s="12" t="s">
        <v>37</v>
      </c>
      <c r="D28" s="12"/>
      <c r="E28" s="12">
        <v>500</v>
      </c>
      <c r="F28" s="1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x14ac:dyDescent="0.4">
      <c r="A29" s="11"/>
      <c r="B29" s="12" t="s">
        <v>38</v>
      </c>
      <c r="C29" s="12"/>
      <c r="D29" s="12"/>
      <c r="E29" s="12"/>
      <c r="F29" s="13">
        <v>500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x14ac:dyDescent="0.4">
      <c r="A30" s="11"/>
      <c r="B30" s="12" t="s">
        <v>54</v>
      </c>
      <c r="C30" s="12"/>
      <c r="D30" s="12"/>
      <c r="E30" s="12"/>
      <c r="F30" s="1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x14ac:dyDescent="0.4">
      <c r="A31" s="11" t="s">
        <v>60</v>
      </c>
      <c r="B31" s="12" t="s">
        <v>56</v>
      </c>
      <c r="C31" s="12" t="s">
        <v>37</v>
      </c>
      <c r="D31" s="12"/>
      <c r="E31" s="12">
        <v>300</v>
      </c>
      <c r="F31" s="1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" x14ac:dyDescent="0.4">
      <c r="A32" s="11"/>
      <c r="B32" s="12" t="s">
        <v>38</v>
      </c>
      <c r="C32" s="12"/>
      <c r="D32" s="12"/>
      <c r="E32" s="12"/>
      <c r="F32" s="13">
        <v>300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x14ac:dyDescent="0.4">
      <c r="A33" s="11"/>
      <c r="B33" s="12" t="s">
        <v>57</v>
      </c>
      <c r="C33" s="12"/>
      <c r="D33" s="12"/>
      <c r="E33" s="12"/>
      <c r="F33" s="1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" x14ac:dyDescent="0.4">
      <c r="A34" s="11" t="s">
        <v>61</v>
      </c>
      <c r="B34" s="12" t="s">
        <v>62</v>
      </c>
      <c r="C34" s="12" t="s">
        <v>37</v>
      </c>
      <c r="D34" s="12"/>
      <c r="E34" s="12">
        <v>450</v>
      </c>
      <c r="F34" s="1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x14ac:dyDescent="0.4">
      <c r="A35" s="11"/>
      <c r="B35" s="12" t="s">
        <v>38</v>
      </c>
      <c r="C35" s="12"/>
      <c r="D35" s="12"/>
      <c r="E35" s="12"/>
      <c r="F35" s="13">
        <v>450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x14ac:dyDescent="0.4">
      <c r="A36" s="11"/>
      <c r="B36" s="12" t="s">
        <v>63</v>
      </c>
      <c r="C36" s="12"/>
      <c r="D36" s="12"/>
      <c r="E36" s="12"/>
      <c r="F36" s="1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" x14ac:dyDescent="0.4">
      <c r="A37" s="11" t="s">
        <v>64</v>
      </c>
      <c r="B37" s="12" t="s">
        <v>65</v>
      </c>
      <c r="C37" s="12" t="s">
        <v>37</v>
      </c>
      <c r="D37" s="12"/>
      <c r="E37" s="12">
        <v>200</v>
      </c>
      <c r="F37" s="1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x14ac:dyDescent="0.4">
      <c r="A38" s="11"/>
      <c r="B38" s="12" t="s">
        <v>38</v>
      </c>
      <c r="C38" s="12"/>
      <c r="D38" s="12"/>
      <c r="E38" s="12"/>
      <c r="F38" s="13">
        <v>200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x14ac:dyDescent="0.4">
      <c r="A39" s="11"/>
      <c r="B39" s="12" t="s">
        <v>66</v>
      </c>
      <c r="C39" s="12"/>
      <c r="D39" s="12"/>
      <c r="E39" s="12"/>
      <c r="F39" s="1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8" x14ac:dyDescent="0.4">
      <c r="A40" s="11" t="s">
        <v>67</v>
      </c>
      <c r="B40" s="12" t="s">
        <v>68</v>
      </c>
      <c r="C40" s="12" t="s">
        <v>37</v>
      </c>
      <c r="D40" s="12"/>
      <c r="E40" s="14">
        <v>2000</v>
      </c>
      <c r="F40" s="1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8" x14ac:dyDescent="0.4">
      <c r="A41" s="11"/>
      <c r="B41" s="12" t="s">
        <v>38</v>
      </c>
      <c r="C41" s="12"/>
      <c r="D41" s="12"/>
      <c r="E41" s="12"/>
      <c r="F41" s="15">
        <v>2000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8" x14ac:dyDescent="0.4">
      <c r="A42" s="11"/>
      <c r="B42" s="12" t="s">
        <v>69</v>
      </c>
      <c r="C42" s="12"/>
      <c r="D42" s="12"/>
      <c r="E42" s="12"/>
      <c r="F42" s="1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8" x14ac:dyDescent="0.4">
      <c r="A43" s="11" t="s">
        <v>70</v>
      </c>
      <c r="B43" s="12" t="s">
        <v>71</v>
      </c>
      <c r="C43" s="12" t="s">
        <v>37</v>
      </c>
      <c r="D43" s="12"/>
      <c r="E43" s="14">
        <v>25000</v>
      </c>
      <c r="F43" s="1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8" x14ac:dyDescent="0.4">
      <c r="A44" s="11"/>
      <c r="B44" s="12" t="s">
        <v>72</v>
      </c>
      <c r="C44" s="12"/>
      <c r="D44" s="12"/>
      <c r="E44" s="12"/>
      <c r="F44" s="15">
        <v>25000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8" x14ac:dyDescent="0.4">
      <c r="A45" s="11"/>
      <c r="B45" s="12" t="s">
        <v>73</v>
      </c>
      <c r="C45" s="12"/>
      <c r="D45" s="12"/>
      <c r="E45" s="12"/>
      <c r="F45" s="1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8" x14ac:dyDescent="0.4">
      <c r="A46" s="11" t="s">
        <v>74</v>
      </c>
      <c r="B46" s="12" t="s">
        <v>75</v>
      </c>
      <c r="C46" s="12" t="s">
        <v>37</v>
      </c>
      <c r="D46" s="12"/>
      <c r="E46" s="12">
        <v>110</v>
      </c>
      <c r="F46" s="1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8" x14ac:dyDescent="0.4">
      <c r="A47" s="11"/>
      <c r="B47" s="12" t="s">
        <v>38</v>
      </c>
      <c r="C47" s="12"/>
      <c r="D47" s="12"/>
      <c r="E47" s="12"/>
      <c r="F47" s="13">
        <v>110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8" x14ac:dyDescent="0.4">
      <c r="A48" s="11"/>
      <c r="B48" s="12" t="s">
        <v>76</v>
      </c>
      <c r="C48" s="12"/>
      <c r="D48" s="12"/>
      <c r="E48" s="12"/>
      <c r="F48" s="1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8" x14ac:dyDescent="0.4">
      <c r="A49" s="11" t="s">
        <v>77</v>
      </c>
      <c r="B49" s="12" t="s">
        <v>78</v>
      </c>
      <c r="C49" s="12" t="s">
        <v>37</v>
      </c>
      <c r="D49" s="12"/>
      <c r="E49" s="12">
        <v>600</v>
      </c>
      <c r="F49" s="1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8" x14ac:dyDescent="0.4">
      <c r="A50" s="11"/>
      <c r="B50" s="12" t="s">
        <v>38</v>
      </c>
      <c r="C50" s="12"/>
      <c r="D50" s="12"/>
      <c r="E50" s="12"/>
      <c r="F50" s="13">
        <v>600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" x14ac:dyDescent="0.4">
      <c r="A51" s="11"/>
      <c r="B51" s="12" t="s">
        <v>57</v>
      </c>
      <c r="C51" s="12"/>
      <c r="D51" s="12"/>
      <c r="E51" s="12"/>
      <c r="F51" s="1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8" x14ac:dyDescent="0.4">
      <c r="A52" s="11" t="s">
        <v>79</v>
      </c>
      <c r="B52" s="12" t="s">
        <v>80</v>
      </c>
      <c r="C52" s="12" t="s">
        <v>37</v>
      </c>
      <c r="D52" s="12"/>
      <c r="E52" s="12">
        <v>350</v>
      </c>
      <c r="F52" s="1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" x14ac:dyDescent="0.4">
      <c r="A53" s="11"/>
      <c r="B53" s="12" t="s">
        <v>38</v>
      </c>
      <c r="C53" s="12"/>
      <c r="D53" s="12"/>
      <c r="E53" s="12"/>
      <c r="F53" s="13">
        <v>350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" x14ac:dyDescent="0.4">
      <c r="A54" s="11"/>
      <c r="B54" s="12" t="s">
        <v>81</v>
      </c>
      <c r="C54" s="12"/>
      <c r="D54" s="12"/>
      <c r="E54" s="12"/>
      <c r="F54" s="1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" x14ac:dyDescent="0.4">
      <c r="A55" s="11" t="s">
        <v>82</v>
      </c>
      <c r="B55" s="12" t="s">
        <v>44</v>
      </c>
      <c r="C55" s="12" t="s">
        <v>37</v>
      </c>
      <c r="D55" s="12"/>
      <c r="E55" s="12">
        <v>50</v>
      </c>
      <c r="F55" s="1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8" x14ac:dyDescent="0.4">
      <c r="A56" s="11"/>
      <c r="B56" s="12" t="s">
        <v>38</v>
      </c>
      <c r="C56" s="12"/>
      <c r="D56" s="12"/>
      <c r="E56" s="12"/>
      <c r="F56" s="13">
        <v>50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8" x14ac:dyDescent="0.4">
      <c r="A57" s="11"/>
      <c r="B57" s="12" t="s">
        <v>45</v>
      </c>
      <c r="C57" s="12"/>
      <c r="D57" s="12"/>
      <c r="E57" s="12"/>
      <c r="F57" s="1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8" x14ac:dyDescent="0.4">
      <c r="A58" s="11" t="s">
        <v>83</v>
      </c>
      <c r="B58" s="12" t="s">
        <v>84</v>
      </c>
      <c r="C58" s="12" t="s">
        <v>37</v>
      </c>
      <c r="D58" s="12"/>
      <c r="E58" s="14">
        <v>1000</v>
      </c>
      <c r="F58" s="1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8" x14ac:dyDescent="0.4">
      <c r="A59" s="11"/>
      <c r="B59" s="12" t="s">
        <v>38</v>
      </c>
      <c r="C59" s="12"/>
      <c r="D59" s="12"/>
      <c r="E59" s="12"/>
      <c r="F59" s="15">
        <v>1000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8" x14ac:dyDescent="0.4">
      <c r="A60" s="11"/>
      <c r="B60" s="12" t="s">
        <v>85</v>
      </c>
      <c r="C60" s="12"/>
      <c r="D60" s="12"/>
      <c r="E60" s="12"/>
      <c r="F60" s="1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8" x14ac:dyDescent="0.4">
      <c r="A61" s="11" t="s">
        <v>86</v>
      </c>
      <c r="B61" s="12" t="s">
        <v>62</v>
      </c>
      <c r="C61" s="12" t="s">
        <v>37</v>
      </c>
      <c r="D61" s="12"/>
      <c r="E61" s="12">
        <v>150</v>
      </c>
      <c r="F61" s="1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8" x14ac:dyDescent="0.4">
      <c r="A62" s="11"/>
      <c r="B62" s="12" t="s">
        <v>38</v>
      </c>
      <c r="C62" s="12"/>
      <c r="D62" s="12"/>
      <c r="E62" s="12"/>
      <c r="F62" s="13">
        <v>150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8" x14ac:dyDescent="0.4">
      <c r="A63" s="11"/>
      <c r="B63" s="12" t="s">
        <v>63</v>
      </c>
      <c r="C63" s="12"/>
      <c r="D63" s="12"/>
      <c r="E63" s="12"/>
      <c r="F63" s="1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8" x14ac:dyDescent="0.4">
      <c r="A64" s="11" t="s">
        <v>87</v>
      </c>
      <c r="B64" s="12" t="s">
        <v>50</v>
      </c>
      <c r="C64" s="12" t="s">
        <v>37</v>
      </c>
      <c r="D64" s="12"/>
      <c r="E64" s="12">
        <v>150</v>
      </c>
      <c r="F64" s="1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8" x14ac:dyDescent="0.4">
      <c r="A65" s="11"/>
      <c r="B65" s="12" t="s">
        <v>38</v>
      </c>
      <c r="C65" s="12"/>
      <c r="D65" s="12"/>
      <c r="E65" s="12"/>
      <c r="F65" s="13">
        <v>150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8" x14ac:dyDescent="0.4">
      <c r="A66" s="11"/>
      <c r="B66" s="12" t="s">
        <v>51</v>
      </c>
      <c r="C66" s="12"/>
      <c r="D66" s="12"/>
      <c r="E66" s="12"/>
      <c r="F66" s="1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8" x14ac:dyDescent="0.4">
      <c r="A67" s="11" t="s">
        <v>88</v>
      </c>
      <c r="B67" s="12" t="s">
        <v>80</v>
      </c>
      <c r="C67" s="12" t="s">
        <v>37</v>
      </c>
      <c r="D67" s="12"/>
      <c r="E67" s="12">
        <v>320</v>
      </c>
      <c r="F67" s="1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8" x14ac:dyDescent="0.4">
      <c r="A68" s="11"/>
      <c r="B68" s="12" t="s">
        <v>38</v>
      </c>
      <c r="C68" s="12"/>
      <c r="D68" s="12"/>
      <c r="E68" s="12"/>
      <c r="F68" s="13">
        <v>320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8" x14ac:dyDescent="0.4">
      <c r="A69" s="11"/>
      <c r="B69" s="12" t="s">
        <v>81</v>
      </c>
      <c r="C69" s="12"/>
      <c r="D69" s="12"/>
      <c r="E69" s="12"/>
      <c r="F69" s="1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8" x14ac:dyDescent="0.4">
      <c r="A70" s="11" t="s">
        <v>89</v>
      </c>
      <c r="B70" s="12" t="s">
        <v>90</v>
      </c>
      <c r="C70" s="12" t="s">
        <v>37</v>
      </c>
      <c r="D70" s="12"/>
      <c r="E70" s="14">
        <v>1040</v>
      </c>
      <c r="F70" s="1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8" x14ac:dyDescent="0.4">
      <c r="A71" s="11"/>
      <c r="B71" s="12" t="s">
        <v>38</v>
      </c>
      <c r="C71" s="12"/>
      <c r="D71" s="12"/>
      <c r="E71" s="12"/>
      <c r="F71" s="15">
        <v>1040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8" x14ac:dyDescent="0.4">
      <c r="A72" s="11"/>
      <c r="B72" s="12" t="s">
        <v>92</v>
      </c>
      <c r="C72" s="12"/>
      <c r="D72" s="12"/>
      <c r="E72" s="12"/>
      <c r="F72" s="1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8" x14ac:dyDescent="0.4">
      <c r="A73" s="11" t="s">
        <v>93</v>
      </c>
      <c r="B73" s="12" t="s">
        <v>44</v>
      </c>
      <c r="C73" s="12" t="s">
        <v>37</v>
      </c>
      <c r="D73" s="12"/>
      <c r="E73" s="12">
        <v>50</v>
      </c>
      <c r="F73" s="1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8" x14ac:dyDescent="0.4">
      <c r="A74" s="11"/>
      <c r="B74" s="12" t="s">
        <v>38</v>
      </c>
      <c r="C74" s="12"/>
      <c r="D74" s="12"/>
      <c r="E74" s="12"/>
      <c r="F74" s="13">
        <v>50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8" x14ac:dyDescent="0.4">
      <c r="A75" s="11"/>
      <c r="B75" s="12" t="s">
        <v>45</v>
      </c>
      <c r="C75" s="12"/>
      <c r="D75" s="12"/>
      <c r="E75" s="12"/>
      <c r="F75" s="1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8" x14ac:dyDescent="0.4">
      <c r="A76" s="11" t="s">
        <v>94</v>
      </c>
      <c r="B76" s="12" t="s">
        <v>95</v>
      </c>
      <c r="C76" s="12" t="s">
        <v>37</v>
      </c>
      <c r="D76" s="12"/>
      <c r="E76" s="12">
        <v>260</v>
      </c>
      <c r="F76" s="1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8" x14ac:dyDescent="0.4">
      <c r="A77" s="11"/>
      <c r="B77" s="12" t="s">
        <v>38</v>
      </c>
      <c r="C77" s="12"/>
      <c r="D77" s="12"/>
      <c r="E77" s="12"/>
      <c r="F77" s="13">
        <v>260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8" x14ac:dyDescent="0.4">
      <c r="A78" s="11"/>
      <c r="B78" s="12" t="s">
        <v>96</v>
      </c>
      <c r="C78" s="12"/>
      <c r="D78" s="12"/>
      <c r="E78" s="12"/>
      <c r="F78" s="1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8" x14ac:dyDescent="0.4">
      <c r="A79" s="11" t="s">
        <v>97</v>
      </c>
      <c r="B79" s="12" t="s">
        <v>98</v>
      </c>
      <c r="C79" s="12" t="s">
        <v>37</v>
      </c>
      <c r="D79" s="12"/>
      <c r="E79" s="12">
        <v>550</v>
      </c>
      <c r="F79" s="1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8" x14ac:dyDescent="0.4">
      <c r="A80" s="11"/>
      <c r="B80" s="12" t="s">
        <v>38</v>
      </c>
      <c r="C80" s="12"/>
      <c r="D80" s="12"/>
      <c r="E80" s="12"/>
      <c r="F80" s="13">
        <v>550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8" x14ac:dyDescent="0.4">
      <c r="A81" s="11"/>
      <c r="B81" s="12" t="s">
        <v>99</v>
      </c>
      <c r="C81" s="12"/>
      <c r="D81" s="12"/>
      <c r="E81" s="12"/>
      <c r="F81" s="1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8" x14ac:dyDescent="0.4">
      <c r="A82" s="11" t="s">
        <v>100</v>
      </c>
      <c r="B82" s="12" t="s">
        <v>101</v>
      </c>
      <c r="C82" s="12" t="s">
        <v>37</v>
      </c>
      <c r="D82" s="12"/>
      <c r="E82" s="12">
        <v>200</v>
      </c>
      <c r="F82" s="1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8" x14ac:dyDescent="0.4">
      <c r="A83" s="11"/>
      <c r="B83" s="12" t="s">
        <v>38</v>
      </c>
      <c r="C83" s="12"/>
      <c r="D83" s="12"/>
      <c r="E83" s="12"/>
      <c r="F83" s="13">
        <v>200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8" x14ac:dyDescent="0.4">
      <c r="A84" s="11"/>
      <c r="B84" s="12" t="s">
        <v>102</v>
      </c>
      <c r="C84" s="12"/>
      <c r="D84" s="12"/>
      <c r="E84" s="12"/>
      <c r="F84" s="1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8" x14ac:dyDescent="0.4">
      <c r="A85" s="11" t="s">
        <v>103</v>
      </c>
      <c r="B85" s="12" t="s">
        <v>56</v>
      </c>
      <c r="C85" s="12" t="s">
        <v>37</v>
      </c>
      <c r="D85" s="12"/>
      <c r="E85" s="12">
        <v>400</v>
      </c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8" x14ac:dyDescent="0.4">
      <c r="A86" s="11"/>
      <c r="B86" s="12" t="s">
        <v>38</v>
      </c>
      <c r="C86" s="12"/>
      <c r="D86" s="12"/>
      <c r="E86" s="12"/>
      <c r="F86" s="13">
        <v>400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.5" thickBot="1" x14ac:dyDescent="0.45">
      <c r="A87" s="16"/>
      <c r="B87" s="17" t="s">
        <v>57</v>
      </c>
      <c r="C87" s="17"/>
      <c r="D87" s="17"/>
      <c r="E87" s="17"/>
      <c r="F87" s="1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1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ht="1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ht="1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ht="1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ht="1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ht="1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ht="1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ht="1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ht="1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ht="1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 ht="1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 ht="1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ht="1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 ht="1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ht="1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 ht="1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 ht="1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 ht="1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ht="1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 ht="1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 ht="1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 ht="1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 ht="1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 ht="1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 ht="1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 ht="1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  <row r="1027" spans="1:19" ht="1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</row>
    <row r="1028" spans="1:19" ht="1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</row>
    <row r="1029" spans="1:19" ht="1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</row>
    <row r="1030" spans="1:19" ht="1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</row>
    <row r="1031" spans="1:19" ht="1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</row>
    <row r="1032" spans="1:19" ht="1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</row>
    <row r="1033" spans="1:19" ht="1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</row>
    <row r="1034" spans="1:19" ht="1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 ht="1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</row>
    <row r="1036" spans="1:19" ht="1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ht="1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 ht="1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</row>
    <row r="1039" spans="1:19" ht="1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</row>
    <row r="1040" spans="1:19" ht="1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</row>
    <row r="1041" spans="1:19" ht="1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</row>
    <row r="1042" spans="1:19" ht="1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</row>
    <row r="1043" spans="1:19" ht="1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</row>
    <row r="1044" spans="1:19" ht="1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</row>
    <row r="1045" spans="1:19" ht="1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</row>
    <row r="1046" spans="1:19" ht="1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</row>
    <row r="1047" spans="1:19" ht="1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</row>
    <row r="1048" spans="1:19" ht="1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</row>
    <row r="1049" spans="1:19" ht="1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</row>
    <row r="1050" spans="1:19" ht="1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</row>
    <row r="1051" spans="1:19" ht="1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</row>
    <row r="1052" spans="1:19" ht="1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</row>
    <row r="1053" spans="1:19" ht="1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</row>
    <row r="1054" spans="1:19" ht="1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</row>
    <row r="1055" spans="1:19" ht="1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</row>
    <row r="1056" spans="1:19" ht="1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</row>
    <row r="1057" spans="1:19" ht="1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</row>
    <row r="1058" spans="1:19" ht="1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</row>
    <row r="1059" spans="1:19" ht="1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</row>
    <row r="1060" spans="1:19" ht="1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</row>
    <row r="1061" spans="1:19" ht="1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</row>
    <row r="1062" spans="1:19" ht="1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</row>
    <row r="1063" spans="1:19" ht="1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</row>
    <row r="1064" spans="1:19" ht="1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</row>
    <row r="1065" spans="1:19" ht="1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</row>
    <row r="1066" spans="1:19" ht="1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</row>
    <row r="1067" spans="1:19" ht="1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</row>
    <row r="1068" spans="1:19" ht="1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</row>
    <row r="1069" spans="1:19" ht="1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</row>
    <row r="1070" spans="1:19" ht="1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</row>
    <row r="1071" spans="1:19" ht="1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</row>
    <row r="1072" spans="1:19" ht="1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</row>
    <row r="1073" spans="1:19" ht="1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</row>
    <row r="1074" spans="1:19" ht="1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</row>
    <row r="1075" spans="1:19" ht="1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</row>
    <row r="1076" spans="1:19" ht="1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</row>
    <row r="1077" spans="1:19" ht="1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</row>
    <row r="1078" spans="1:19" ht="1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</row>
    <row r="1079" spans="1:19" ht="1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</row>
    <row r="1080" spans="1:19" ht="1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</row>
    <row r="1081" spans="1:19" ht="1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</row>
    <row r="1082" spans="1:19" ht="1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</row>
    <row r="1083" spans="1:19" ht="1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</row>
    <row r="1084" spans="1:19" ht="1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</row>
    <row r="1085" spans="1:19" ht="1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</row>
    <row r="1086" spans="1:19" ht="1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</row>
    <row r="1087" spans="1:19" ht="1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</row>
    <row r="1088" spans="1:19" ht="1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</row>
    <row r="1089" spans="1:19" ht="1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</row>
    <row r="1090" spans="1:19" ht="1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</row>
    <row r="1091" spans="1:19" ht="1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</row>
    <row r="1092" spans="1:19" ht="1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</row>
    <row r="1093" spans="1:19" ht="1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</row>
    <row r="1094" spans="1:19" ht="1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</row>
    <row r="1095" spans="1:19" ht="1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</row>
    <row r="1096" spans="1:19" ht="1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spans="1:19" ht="1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</row>
    <row r="1098" spans="1:19" ht="1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</row>
    <row r="1099" spans="1:19" ht="1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</row>
    <row r="1100" spans="1:19" ht="1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</row>
    <row r="1101" spans="1:19" ht="1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</row>
    <row r="1102" spans="1:19" ht="1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</row>
    <row r="1103" spans="1:19" ht="1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spans="1:19" ht="1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</row>
    <row r="1105" spans="1:19" ht="1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</row>
    <row r="1106" spans="1:19" ht="1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</row>
    <row r="1107" spans="1:19" ht="1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</row>
    <row r="1108" spans="1:19" ht="1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</row>
    <row r="1109" spans="1:19" ht="1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</row>
    <row r="1110" spans="1:19" ht="1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spans="1:19" ht="1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</row>
    <row r="1112" spans="1:19" ht="18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</row>
    <row r="1113" spans="1:19" ht="18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</row>
    <row r="1114" spans="1:19" ht="18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</row>
    <row r="1115" spans="1:19" ht="18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</row>
    <row r="1116" spans="1:19" ht="18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</row>
    <row r="1117" spans="1:19" ht="18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 spans="1:19" ht="18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 spans="1:19" ht="18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  <row r="1120" spans="1:19" ht="18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</row>
    <row r="1121" spans="1:19" ht="18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</row>
    <row r="1122" spans="1:19" ht="18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</row>
    <row r="1123" spans="1:19" ht="18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</row>
    <row r="1124" spans="1:19" ht="18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</row>
    <row r="1125" spans="1:19" ht="18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</row>
    <row r="1126" spans="1:19" ht="18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</row>
    <row r="1127" spans="1:19" ht="18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</row>
    <row r="1128" spans="1:19" ht="18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</row>
    <row r="1129" spans="1:19" ht="18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</row>
    <row r="1130" spans="1:19" ht="18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</row>
    <row r="1131" spans="1:19" ht="18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</row>
    <row r="1132" spans="1:19" ht="18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</row>
    <row r="1133" spans="1:19" ht="18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</row>
    <row r="1134" spans="1:19" ht="18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</row>
    <row r="1135" spans="1:19" ht="18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</row>
    <row r="1136" spans="1:19" ht="18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</row>
    <row r="1137" spans="1:19" ht="18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</row>
    <row r="1138" spans="1:19" ht="18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</row>
    <row r="1139" spans="1:19" ht="18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</row>
    <row r="1140" spans="1:19" ht="18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</row>
    <row r="1141" spans="1:19" ht="18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</row>
    <row r="1142" spans="1:19" ht="18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</row>
    <row r="1143" spans="1:19" ht="18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</row>
    <row r="1144" spans="1:19" ht="18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</row>
    <row r="1145" spans="1:19" ht="18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</row>
    <row r="1146" spans="1:19" ht="18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</row>
    <row r="1147" spans="1:19" ht="18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</row>
    <row r="1148" spans="1:19" ht="18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</row>
    <row r="1149" spans="1:19" ht="18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</row>
    <row r="1150" spans="1:19" ht="18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</row>
    <row r="1151" spans="1:19" ht="18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</row>
    <row r="1152" spans="1:19" ht="18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</row>
    <row r="1153" spans="1:19" ht="18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</row>
    <row r="1154" spans="1:19" ht="18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</row>
    <row r="1155" spans="1:19" ht="18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</row>
    <row r="1156" spans="1:19" ht="18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</row>
    <row r="1157" spans="1:19" ht="18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</row>
    <row r="1158" spans="1:19" ht="18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</row>
    <row r="1159" spans="1:19" ht="18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</row>
    <row r="1160" spans="1:19" ht="18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</row>
    <row r="1161" spans="1:19" ht="18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</row>
    <row r="1162" spans="1:19" ht="18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</row>
    <row r="1163" spans="1:19" ht="18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</row>
    <row r="1164" spans="1:19" ht="18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</row>
    <row r="1165" spans="1:19" ht="18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</row>
    <row r="1166" spans="1:19" ht="18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</row>
    <row r="1167" spans="1:19" ht="18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</row>
    <row r="1168" spans="1:19" ht="18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</row>
    <row r="1169" spans="1:19" ht="18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</row>
    <row r="1170" spans="1:19" ht="18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</row>
    <row r="1171" spans="1:19" ht="18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</row>
    <row r="1172" spans="1:19" ht="18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</row>
    <row r="1173" spans="1:19" ht="18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</row>
    <row r="1174" spans="1:19" ht="18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</row>
    <row r="1175" spans="1:19" ht="18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</row>
    <row r="1176" spans="1:19" ht="18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</row>
    <row r="1177" spans="1:19" ht="18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</row>
    <row r="1178" spans="1:19" ht="18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</row>
    <row r="1179" spans="1:19" ht="18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</row>
    <row r="1180" spans="1:19" ht="18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</row>
    <row r="1181" spans="1:19" ht="18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</row>
    <row r="1182" spans="1:19" ht="18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</row>
    <row r="1183" spans="1:19" ht="18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</row>
    <row r="1184" spans="1:19" ht="18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</row>
    <row r="1185" spans="1:19" ht="18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</row>
    <row r="1186" spans="1:19" ht="18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</row>
    <row r="1187" spans="1:19" ht="18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</row>
    <row r="1188" spans="1:19" ht="18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</row>
    <row r="1189" spans="1:19" ht="18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</row>
    <row r="1190" spans="1:19" ht="18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</row>
    <row r="1191" spans="1:19" ht="18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</row>
    <row r="1192" spans="1:19" ht="18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</row>
    <row r="1193" spans="1:19" ht="18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</row>
    <row r="1194" spans="1:19" ht="18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</row>
    <row r="1195" spans="1:19" ht="18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</row>
    <row r="1196" spans="1:19" ht="18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</row>
    <row r="1197" spans="1:19" ht="18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</row>
    <row r="1198" spans="1:19" ht="18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</row>
    <row r="1199" spans="1:19" ht="18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</row>
    <row r="1200" spans="1:19" ht="18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</row>
    <row r="1201" spans="1:19" ht="18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</row>
    <row r="1202" spans="1:19" ht="18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</row>
    <row r="1203" spans="1:19" ht="18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</row>
    <row r="1204" spans="1:19" ht="18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</row>
    <row r="1205" spans="1:19" ht="18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</row>
    <row r="1206" spans="1:19" ht="18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</row>
    <row r="1207" spans="1:19" ht="18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</row>
    <row r="1208" spans="1:19" ht="18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</row>
    <row r="1209" spans="1:19" ht="18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</row>
    <row r="1210" spans="1:19" ht="18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</row>
    <row r="1211" spans="1:19" ht="18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</row>
    <row r="1212" spans="1:19" ht="18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</row>
    <row r="1213" spans="1:19" ht="18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</row>
    <row r="1214" spans="1:19" ht="18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</row>
    <row r="1215" spans="1:19" ht="18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</row>
    <row r="1216" spans="1:19" ht="18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</row>
    <row r="1217" spans="1:19" ht="18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</row>
    <row r="1218" spans="1:19" ht="18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</row>
    <row r="1219" spans="1:19" ht="18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</row>
    <row r="1220" spans="1:19" ht="18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</row>
    <row r="1221" spans="1:19" ht="18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</row>
    <row r="1222" spans="1:19" ht="18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</row>
    <row r="1223" spans="1:19" ht="18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</row>
    <row r="1224" spans="1:19" ht="18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</row>
    <row r="1225" spans="1:19" ht="18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</row>
    <row r="1226" spans="1:19" ht="18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</row>
    <row r="1227" spans="1:19" ht="18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</row>
    <row r="1228" spans="1:19" ht="18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</row>
    <row r="1229" spans="1:19" ht="18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</row>
    <row r="1230" spans="1:19" ht="18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</row>
    <row r="1231" spans="1:19" ht="18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</row>
    <row r="1232" spans="1:19" ht="18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</row>
    <row r="1233" spans="1:19" ht="18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</row>
    <row r="1234" spans="1:19" ht="18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</row>
    <row r="1235" spans="1:19" ht="18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</row>
    <row r="1236" spans="1:19" ht="18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</row>
    <row r="1237" spans="1:19" ht="18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</row>
    <row r="1238" spans="1:19" ht="18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</row>
    <row r="1239" spans="1:19" ht="18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</row>
    <row r="1240" spans="1:19" ht="18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</row>
    <row r="1241" spans="1:19" ht="18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</row>
    <row r="1242" spans="1:19" ht="18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</row>
    <row r="1243" spans="1:19" ht="18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</row>
    <row r="1244" spans="1:19" ht="18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</row>
    <row r="1245" spans="1:19" ht="18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</row>
    <row r="1246" spans="1:19" ht="18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</row>
    <row r="1247" spans="1:19" ht="18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</row>
    <row r="1248" spans="1:19" ht="18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</row>
    <row r="1249" spans="1:19" ht="18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</row>
    <row r="1250" spans="1:19" ht="18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</row>
    <row r="1251" spans="1:19" ht="18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</row>
    <row r="1252" spans="1:19" ht="18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</row>
    <row r="1253" spans="1:19" ht="18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</row>
    <row r="1254" spans="1:19" ht="18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</row>
    <row r="1255" spans="1:19" ht="18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</row>
    <row r="1256" spans="1:19" ht="18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</row>
    <row r="1257" spans="1:19" ht="18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</row>
    <row r="1258" spans="1:19" ht="18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</row>
    <row r="1259" spans="1:19" ht="18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</row>
    <row r="1260" spans="1:19" ht="18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</row>
    <row r="1261" spans="1:19" ht="18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</row>
    <row r="1262" spans="1:19" ht="18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</row>
    <row r="1263" spans="1:19" ht="18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</row>
    <row r="1264" spans="1:19" ht="18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</row>
    <row r="1265" spans="1:19" ht="18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</row>
    <row r="1266" spans="1:19" ht="18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</row>
    <row r="1267" spans="1:19" ht="18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</row>
    <row r="1268" spans="1:19" ht="18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</row>
    <row r="1269" spans="1:19" ht="18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</row>
    <row r="1270" spans="1:19" ht="18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</row>
    <row r="1271" spans="1:19" ht="18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</row>
    <row r="1272" spans="1:19" ht="18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</row>
    <row r="1273" spans="1:19" ht="18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</row>
    <row r="1274" spans="1:19" ht="18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</row>
    <row r="1275" spans="1:19" ht="18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</row>
    <row r="1276" spans="1:19" ht="18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</row>
    <row r="1277" spans="1:19" ht="18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</row>
    <row r="1278" spans="1:19" ht="18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</row>
    <row r="1279" spans="1:19" ht="18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</row>
    <row r="1280" spans="1:19" ht="18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</row>
    <row r="1281" spans="1:19" ht="18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</row>
    <row r="1282" spans="1:19" ht="18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</row>
    <row r="1283" spans="1:19" ht="18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</row>
    <row r="1284" spans="1:19" ht="18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</row>
    <row r="1285" spans="1:19" ht="18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</row>
    <row r="1286" spans="1:19" ht="18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</row>
    <row r="1287" spans="1:19" ht="18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</row>
    <row r="1288" spans="1:19" ht="18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</row>
    <row r="1289" spans="1:19" ht="18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</row>
    <row r="1290" spans="1:19" ht="18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</row>
    <row r="1291" spans="1:19" ht="18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</row>
    <row r="1292" spans="1:19" ht="18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</row>
    <row r="1293" spans="1:19" ht="18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</row>
    <row r="1294" spans="1:19" ht="18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</row>
    <row r="1295" spans="1:19" ht="18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</row>
    <row r="1296" spans="1:19" ht="18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</row>
    <row r="1297" spans="1:19" ht="18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</row>
    <row r="1298" spans="1:19" ht="18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</row>
    <row r="1299" spans="1:19" ht="18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</row>
    <row r="1300" spans="1:19" ht="18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</row>
    <row r="1301" spans="1:19" ht="18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</row>
    <row r="1302" spans="1:19" ht="18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</row>
    <row r="1303" spans="1:19" ht="18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</row>
    <row r="1304" spans="1:19" ht="18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</row>
    <row r="1305" spans="1:19" ht="18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</row>
    <row r="1306" spans="1:19" ht="18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</row>
    <row r="1307" spans="1:19" ht="18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</row>
    <row r="1308" spans="1:19" ht="18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</row>
    <row r="1309" spans="1:19" ht="18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</row>
    <row r="1310" spans="1:19" ht="18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</row>
    <row r="1311" spans="1:19" ht="18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</row>
    <row r="1312" spans="1:19" ht="18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</row>
    <row r="1313" spans="1:19" ht="18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</row>
    <row r="1314" spans="1:19" ht="18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</row>
    <row r="1315" spans="1:19" ht="18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</row>
    <row r="1316" spans="1:19" ht="18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</row>
    <row r="1317" spans="1:19" ht="18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</row>
    <row r="1318" spans="1:19" ht="18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</row>
    <row r="1319" spans="1:19" ht="18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</row>
    <row r="1320" spans="1:19" ht="18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</row>
    <row r="1321" spans="1:19" ht="18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</row>
    <row r="1322" spans="1:19" ht="18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</row>
    <row r="1323" spans="1:19" ht="18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</row>
    <row r="1324" spans="1:19" ht="18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</row>
    <row r="1325" spans="1:19" ht="18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</row>
    <row r="1326" spans="1:19" ht="18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</row>
    <row r="1327" spans="1:19" ht="18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</row>
    <row r="1328" spans="1:19" ht="18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</row>
    <row r="1329" spans="1:19" ht="18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</row>
    <row r="1330" spans="1:19" ht="18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</row>
    <row r="1331" spans="1:19" ht="18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</row>
    <row r="1332" spans="1:19" ht="18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</row>
    <row r="1333" spans="1:19" ht="18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</row>
    <row r="1334" spans="1:19" ht="18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</row>
    <row r="1335" spans="1:19" ht="18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</row>
    <row r="1336" spans="1:19" ht="18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</row>
    <row r="1337" spans="1:19" ht="18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</row>
    <row r="1338" spans="1:19" ht="18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</row>
    <row r="1339" spans="1:19" ht="18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</row>
    <row r="1340" spans="1:19" ht="18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</row>
    <row r="1341" spans="1:19" ht="18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</row>
    <row r="1342" spans="1:19" ht="18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</row>
    <row r="1343" spans="1:19" ht="18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</row>
    <row r="1344" spans="1:19" ht="18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</row>
    <row r="1345" spans="1:19" ht="18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</row>
    <row r="1346" spans="1:19" ht="18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</row>
    <row r="1347" spans="1:19" ht="18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</row>
    <row r="1348" spans="1:19" ht="18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</row>
    <row r="1349" spans="1:19" ht="18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</row>
    <row r="1350" spans="1:19" ht="18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</row>
    <row r="1351" spans="1:19" ht="18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</row>
    <row r="1352" spans="1:19" ht="18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</row>
    <row r="1353" spans="1:19" ht="18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</row>
    <row r="1354" spans="1:19" ht="18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</row>
    <row r="1355" spans="1:19" ht="18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</row>
    <row r="1356" spans="1:19" ht="18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</row>
    <row r="1357" spans="1:19" ht="18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</row>
    <row r="1358" spans="1:19" ht="18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</row>
    <row r="1359" spans="1:19" ht="18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</row>
    <row r="1360" spans="1:19" ht="18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</row>
    <row r="1361" spans="1:19" ht="18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</row>
    <row r="1362" spans="1:19" ht="18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</row>
    <row r="1363" spans="1:19" ht="18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</row>
    <row r="1364" spans="1:19" ht="18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</row>
    <row r="1365" spans="1:19" ht="18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</row>
    <row r="1366" spans="1:19" ht="18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</row>
    <row r="1367" spans="1:19" ht="18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</row>
    <row r="1368" spans="1:19" ht="18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</row>
    <row r="1369" spans="1:19" ht="18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</row>
    <row r="1370" spans="1:19" ht="18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</row>
    <row r="1371" spans="1:19" ht="18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</row>
    <row r="1372" spans="1:19" ht="18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</row>
    <row r="1373" spans="1:19" ht="18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</row>
    <row r="1374" spans="1:19" ht="18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</row>
    <row r="1375" spans="1:19" ht="18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</row>
    <row r="1376" spans="1:19" ht="18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</row>
    <row r="1377" spans="1:19" ht="18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</row>
    <row r="1378" spans="1:19" ht="18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</row>
    <row r="1379" spans="1:19" ht="18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</row>
    <row r="1380" spans="1:19" ht="18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</row>
    <row r="1381" spans="1:19" ht="18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</row>
    <row r="1382" spans="1:19" ht="18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</row>
    <row r="1383" spans="1:19" ht="18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</row>
    <row r="1384" spans="1:19" ht="18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</row>
    <row r="1385" spans="1:19" ht="18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</row>
    <row r="1386" spans="1:19" ht="18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</row>
    <row r="1387" spans="1:19" ht="18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</row>
    <row r="1388" spans="1:19" ht="18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</row>
    <row r="1389" spans="1:19" ht="18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</row>
    <row r="1390" spans="1:19" ht="18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</row>
    <row r="1391" spans="1:19" ht="18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</row>
    <row r="1392" spans="1:19" ht="18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</row>
    <row r="1393" spans="1:19" ht="18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</row>
    <row r="1394" spans="1:19" ht="18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</row>
    <row r="1395" spans="1:19" ht="18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</row>
    <row r="1396" spans="1:19" ht="18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</row>
    <row r="1397" spans="1:19" ht="18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</row>
    <row r="1398" spans="1:19" ht="18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</row>
    <row r="1399" spans="1:19" ht="18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</row>
    <row r="1400" spans="1:19" ht="18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</row>
    <row r="1401" spans="1:19" ht="18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</row>
    <row r="1402" spans="1:19" ht="18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</row>
    <row r="1403" spans="1:19" ht="18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</row>
    <row r="1404" spans="1:19" ht="18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</row>
    <row r="1405" spans="1:19" ht="18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</row>
    <row r="1406" spans="1:19" ht="18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</row>
    <row r="1407" spans="1:19" ht="18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</row>
    <row r="1408" spans="1:19" ht="18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</row>
    <row r="1409" spans="1:19" ht="18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</row>
    <row r="1410" spans="1:19" ht="18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</row>
    <row r="1411" spans="1:19" ht="18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</row>
    <row r="1412" spans="1:19" ht="18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</row>
    <row r="1413" spans="1:19" ht="18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</row>
    <row r="1414" spans="1:19" ht="18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</row>
    <row r="1415" spans="1:19" ht="18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</row>
    <row r="1416" spans="1:19" ht="18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</row>
    <row r="1417" spans="1:19" ht="18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</row>
    <row r="1418" spans="1:19" ht="18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</row>
    <row r="1419" spans="1:19" ht="18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</row>
    <row r="1420" spans="1:19" ht="18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</row>
    <row r="1421" spans="1:19" ht="18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</row>
    <row r="1422" spans="1:19" ht="18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</row>
    <row r="1423" spans="1:19" ht="18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</row>
    <row r="1424" spans="1:19" ht="18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</row>
    <row r="1425" spans="1:19" ht="18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</row>
    <row r="1426" spans="1:19" ht="18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</row>
    <row r="1427" spans="1:19" ht="18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</row>
    <row r="1428" spans="1:19" ht="18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</row>
    <row r="1429" spans="1:19" ht="18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</row>
    <row r="1430" spans="1:19" ht="18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</row>
    <row r="1431" spans="1:19" ht="18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</row>
    <row r="1432" spans="1:19" ht="18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</row>
    <row r="1433" spans="1:19" ht="18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</row>
    <row r="1434" spans="1:19" ht="18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</row>
    <row r="1435" spans="1:19" ht="18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</row>
    <row r="1436" spans="1:19" ht="18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</row>
    <row r="1437" spans="1:19" ht="18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</row>
    <row r="1438" spans="1:19" ht="18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</row>
    <row r="1439" spans="1:19" ht="18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</row>
    <row r="1440" spans="1:19" ht="18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</row>
    <row r="1441" spans="1:19" ht="18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</row>
    <row r="1442" spans="1:19" ht="18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</row>
    <row r="1443" spans="1:19" ht="18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</row>
    <row r="1444" spans="1:19" ht="18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</row>
    <row r="1445" spans="1:19" ht="18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</row>
    <row r="1446" spans="1:19" ht="18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</row>
    <row r="1447" spans="1:19" ht="18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</row>
    <row r="1448" spans="1:19" ht="18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</row>
    <row r="1449" spans="1:19" ht="18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</row>
    <row r="1450" spans="1:19" ht="18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</row>
    <row r="1451" spans="1:19" ht="18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</row>
    <row r="1452" spans="1:19" ht="18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</row>
    <row r="1453" spans="1:19" ht="18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</row>
    <row r="1454" spans="1:19" ht="18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</row>
    <row r="1455" spans="1:19" ht="18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</row>
    <row r="1456" spans="1:19" ht="18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</row>
    <row r="1457" spans="1:19" ht="18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</row>
    <row r="1458" spans="1:19" ht="18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</row>
    <row r="1459" spans="1:19" ht="18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</row>
    <row r="1460" spans="1:19" ht="18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</row>
    <row r="1461" spans="1:19" ht="18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</row>
    <row r="1462" spans="1:19" ht="18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</row>
    <row r="1463" spans="1:19" ht="18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</row>
    <row r="1464" spans="1:19" ht="18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</row>
    <row r="1465" spans="1:19" ht="18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</row>
    <row r="1466" spans="1:19" ht="18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</row>
    <row r="1467" spans="1:19" ht="18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</row>
    <row r="1468" spans="1:19" ht="18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</row>
    <row r="1469" spans="1:19" ht="18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</row>
    <row r="1470" spans="1:19" ht="18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</row>
    <row r="1471" spans="1:19" ht="18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</row>
    <row r="1472" spans="1:19" ht="18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</row>
    <row r="1473" spans="1:19" ht="18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</row>
    <row r="1474" spans="1:19" ht="18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</row>
    <row r="1475" spans="1:19" ht="18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</row>
    <row r="1476" spans="1:19" ht="18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</row>
    <row r="1477" spans="1:19" ht="18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</row>
    <row r="1478" spans="1:19" ht="18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</row>
    <row r="1479" spans="1:19" ht="18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</row>
    <row r="1480" spans="1:19" ht="18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</row>
    <row r="1481" spans="1:19" ht="18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</row>
    <row r="1482" spans="1:19" ht="18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</row>
    <row r="1483" spans="1:19" ht="18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</row>
    <row r="1484" spans="1:19" ht="18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</row>
    <row r="1485" spans="1:19" ht="18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</row>
    <row r="1486" spans="1:19" ht="18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</row>
    <row r="1487" spans="1:19" ht="18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</row>
    <row r="1488" spans="1:19" ht="18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</row>
    <row r="1489" spans="1:19" ht="18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</row>
    <row r="1490" spans="1:19" ht="18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</row>
    <row r="1491" spans="1:19" ht="18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</row>
    <row r="1492" spans="1:19" ht="18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</row>
    <row r="1493" spans="1:19" ht="18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</row>
    <row r="1494" spans="1:19" ht="18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</row>
    <row r="1495" spans="1:19" ht="18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</row>
    <row r="1496" spans="1:19" ht="18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</row>
    <row r="1497" spans="1:19" ht="18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</row>
    <row r="1498" spans="1:19" ht="18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</row>
    <row r="1499" spans="1:19" ht="18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</row>
    <row r="1500" spans="1:19" ht="18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</row>
    <row r="1501" spans="1:19" ht="18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</row>
    <row r="1502" spans="1:19" ht="18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</row>
    <row r="1503" spans="1:19" ht="18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</row>
    <row r="1504" spans="1:19" ht="18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</row>
    <row r="1505" spans="1:19" ht="18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</row>
    <row r="1506" spans="1:19" ht="18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</row>
    <row r="1507" spans="1:19" ht="18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</row>
    <row r="1508" spans="1:19" ht="18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</row>
    <row r="1509" spans="1:19" ht="18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</row>
    <row r="1510" spans="1:19" ht="18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</row>
    <row r="1511" spans="1:19" ht="18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</row>
    <row r="1512" spans="1:19" ht="18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</row>
    <row r="1513" spans="1:19" ht="18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</row>
    <row r="1514" spans="1:19" ht="18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</row>
    <row r="1515" spans="1:19" ht="18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</row>
    <row r="1516" spans="1:19" ht="18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</row>
    <row r="1517" spans="1:19" ht="18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</row>
    <row r="1518" spans="1:19" ht="18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</row>
    <row r="1519" spans="1:19" ht="18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</row>
    <row r="1520" spans="1:19" ht="18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</row>
    <row r="1521" spans="1:19" ht="18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</row>
    <row r="1522" spans="1:19" ht="18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</row>
    <row r="1523" spans="1:19" ht="18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</row>
    <row r="1524" spans="1:19" ht="18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</row>
    <row r="1525" spans="1:19" ht="18" x14ac:dyDescent="0.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</row>
    <row r="1526" spans="1:19" ht="18" x14ac:dyDescent="0.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</row>
    <row r="1527" spans="1:19" ht="18" x14ac:dyDescent="0.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</row>
    <row r="1528" spans="1:19" ht="18" x14ac:dyDescent="0.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</row>
    <row r="1529" spans="1:19" ht="18" x14ac:dyDescent="0.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</row>
    <row r="1530" spans="1:19" ht="18" x14ac:dyDescent="0.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</row>
    <row r="1531" spans="1:19" ht="18" x14ac:dyDescent="0.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</row>
    <row r="1532" spans="1:19" ht="18" x14ac:dyDescent="0.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</row>
    <row r="1533" spans="1:19" ht="18" x14ac:dyDescent="0.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</row>
    <row r="1534" spans="1:19" ht="18" x14ac:dyDescent="0.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</row>
    <row r="1535" spans="1:19" ht="18" x14ac:dyDescent="0.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</row>
    <row r="1536" spans="1:19" ht="18" x14ac:dyDescent="0.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</row>
    <row r="1537" spans="1:19" ht="18" x14ac:dyDescent="0.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</row>
    <row r="1538" spans="1:19" ht="18" x14ac:dyDescent="0.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</row>
    <row r="1539" spans="1:19" ht="18" x14ac:dyDescent="0.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</row>
    <row r="1540" spans="1:19" ht="18" x14ac:dyDescent="0.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</row>
    <row r="1541" spans="1:19" ht="18" x14ac:dyDescent="0.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</row>
    <row r="1542" spans="1:19" ht="18" x14ac:dyDescent="0.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</row>
    <row r="1543" spans="1:19" ht="18" x14ac:dyDescent="0.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</row>
    <row r="1544" spans="1:19" ht="18" x14ac:dyDescent="0.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</row>
    <row r="1545" spans="1:19" ht="18" x14ac:dyDescent="0.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</row>
    <row r="1546" spans="1:19" ht="18" x14ac:dyDescent="0.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</row>
    <row r="1547" spans="1:19" ht="18" x14ac:dyDescent="0.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</row>
    <row r="1548" spans="1:19" ht="18" x14ac:dyDescent="0.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</row>
    <row r="1549" spans="1:19" ht="18" x14ac:dyDescent="0.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</row>
    <row r="1550" spans="1:19" ht="18" x14ac:dyDescent="0.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</row>
    <row r="1551" spans="1:19" ht="18" x14ac:dyDescent="0.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</row>
    <row r="1552" spans="1:19" ht="18" x14ac:dyDescent="0.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</row>
    <row r="1553" spans="1:19" ht="18" x14ac:dyDescent="0.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</row>
    <row r="1554" spans="1:19" ht="18" x14ac:dyDescent="0.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</row>
    <row r="1555" spans="1:19" ht="18" x14ac:dyDescent="0.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</row>
    <row r="1556" spans="1:19" ht="18" x14ac:dyDescent="0.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</row>
    <row r="1557" spans="1:19" ht="18" x14ac:dyDescent="0.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</row>
    <row r="1558" spans="1:19" ht="18" x14ac:dyDescent="0.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</row>
    <row r="1559" spans="1:19" ht="18" x14ac:dyDescent="0.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</row>
    <row r="1560" spans="1:19" ht="18" x14ac:dyDescent="0.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</row>
    <row r="1561" spans="1:19" ht="18" x14ac:dyDescent="0.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</row>
    <row r="1562" spans="1:19" ht="18" x14ac:dyDescent="0.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</row>
    <row r="1563" spans="1:19" ht="18" x14ac:dyDescent="0.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</row>
    <row r="1564" spans="1:19" ht="18" x14ac:dyDescent="0.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</row>
    <row r="1565" spans="1:19" ht="18" x14ac:dyDescent="0.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</row>
    <row r="1566" spans="1:19" ht="18" x14ac:dyDescent="0.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</row>
    <row r="1567" spans="1:19" ht="18" x14ac:dyDescent="0.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</row>
    <row r="1568" spans="1:19" ht="18" x14ac:dyDescent="0.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</row>
    <row r="1569" spans="1:19" ht="18" x14ac:dyDescent="0.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</row>
    <row r="1570" spans="1:19" ht="18" x14ac:dyDescent="0.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</row>
    <row r="1571" spans="1:19" ht="18" x14ac:dyDescent="0.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</row>
    <row r="1572" spans="1:19" ht="18" x14ac:dyDescent="0.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</row>
    <row r="1573" spans="1:19" ht="18" x14ac:dyDescent="0.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</row>
    <row r="1574" spans="1:19" ht="18" x14ac:dyDescent="0.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</row>
    <row r="1575" spans="1:19" ht="18" x14ac:dyDescent="0.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</row>
    <row r="1576" spans="1:19" ht="18" x14ac:dyDescent="0.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</row>
    <row r="1577" spans="1:19" ht="18" x14ac:dyDescent="0.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</row>
    <row r="1578" spans="1:19" ht="18" x14ac:dyDescent="0.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</row>
    <row r="1579" spans="1:19" ht="18" x14ac:dyDescent="0.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</row>
    <row r="1580" spans="1:19" ht="18" x14ac:dyDescent="0.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</row>
    <row r="1581" spans="1:19" ht="18" x14ac:dyDescent="0.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</row>
    <row r="1582" spans="1:19" ht="18" x14ac:dyDescent="0.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</row>
    <row r="1583" spans="1:19" ht="18" x14ac:dyDescent="0.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</row>
    <row r="1584" spans="1:19" ht="18" x14ac:dyDescent="0.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</row>
    <row r="1585" spans="1:19" ht="18" x14ac:dyDescent="0.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</row>
    <row r="1586" spans="1:19" ht="18" x14ac:dyDescent="0.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</row>
    <row r="1587" spans="1:19" ht="18" x14ac:dyDescent="0.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</row>
    <row r="1588" spans="1:19" ht="18" x14ac:dyDescent="0.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</row>
    <row r="1589" spans="1:19" ht="18" x14ac:dyDescent="0.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</row>
    <row r="1590" spans="1:19" ht="18" x14ac:dyDescent="0.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</row>
    <row r="1591" spans="1:19" ht="18" x14ac:dyDescent="0.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</row>
    <row r="1592" spans="1:19" ht="18" x14ac:dyDescent="0.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</row>
    <row r="1593" spans="1:19" ht="18" x14ac:dyDescent="0.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</row>
    <row r="1594" spans="1:19" ht="18" x14ac:dyDescent="0.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</row>
    <row r="1595" spans="1:19" ht="18" x14ac:dyDescent="0.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</row>
    <row r="1596" spans="1:19" ht="18" x14ac:dyDescent="0.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</row>
    <row r="1597" spans="1:19" ht="18" x14ac:dyDescent="0.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</row>
    <row r="1598" spans="1:19" ht="18" x14ac:dyDescent="0.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</row>
    <row r="1599" spans="1:19" ht="18" x14ac:dyDescent="0.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</row>
    <row r="1600" spans="1:19" ht="18" x14ac:dyDescent="0.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</row>
    <row r="1601" spans="1:19" ht="18" x14ac:dyDescent="0.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</row>
    <row r="1602" spans="1:19" ht="18" x14ac:dyDescent="0.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</row>
    <row r="1603" spans="1:19" ht="18" x14ac:dyDescent="0.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</row>
    <row r="1604" spans="1:19" ht="18" x14ac:dyDescent="0.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</row>
    <row r="1605" spans="1:19" ht="18" x14ac:dyDescent="0.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</row>
    <row r="1606" spans="1:19" ht="18" x14ac:dyDescent="0.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</row>
    <row r="1607" spans="1:19" ht="18" x14ac:dyDescent="0.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</row>
    <row r="1608" spans="1:19" ht="18" x14ac:dyDescent="0.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</row>
    <row r="1609" spans="1:19" ht="18" x14ac:dyDescent="0.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</row>
    <row r="1610" spans="1:19" ht="18" x14ac:dyDescent="0.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</row>
    <row r="1611" spans="1:19" ht="18" x14ac:dyDescent="0.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</row>
    <row r="1612" spans="1:19" ht="18" x14ac:dyDescent="0.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</row>
    <row r="1613" spans="1:19" ht="18" x14ac:dyDescent="0.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</row>
    <row r="1614" spans="1:19" ht="18" x14ac:dyDescent="0.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</row>
    <row r="1615" spans="1:19" ht="18" x14ac:dyDescent="0.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</row>
    <row r="1616" spans="1:19" ht="18" x14ac:dyDescent="0.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</row>
    <row r="1617" spans="1:19" ht="18" x14ac:dyDescent="0.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</row>
    <row r="1618" spans="1:19" ht="18" x14ac:dyDescent="0.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</row>
    <row r="1619" spans="1:19" ht="18" x14ac:dyDescent="0.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</row>
    <row r="1620" spans="1:19" ht="18" x14ac:dyDescent="0.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</row>
    <row r="1621" spans="1:19" ht="18" x14ac:dyDescent="0.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</row>
    <row r="1622" spans="1:19" ht="18" x14ac:dyDescent="0.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</row>
    <row r="1623" spans="1:19" ht="18" x14ac:dyDescent="0.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</row>
    <row r="1624" spans="1:19" ht="18" x14ac:dyDescent="0.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</row>
    <row r="1625" spans="1:19" ht="18" x14ac:dyDescent="0.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</row>
    <row r="1626" spans="1:19" ht="18" x14ac:dyDescent="0.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</row>
    <row r="1627" spans="1:19" ht="18" x14ac:dyDescent="0.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</row>
    <row r="1628" spans="1:19" ht="18" x14ac:dyDescent="0.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</row>
    <row r="1629" spans="1:19" ht="18" x14ac:dyDescent="0.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</row>
    <row r="1630" spans="1:19" ht="18" x14ac:dyDescent="0.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</row>
    <row r="1631" spans="1:19" ht="18" x14ac:dyDescent="0.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</row>
    <row r="1632" spans="1:19" ht="18" x14ac:dyDescent="0.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</row>
    <row r="1633" spans="1:19" ht="18" x14ac:dyDescent="0.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</row>
    <row r="1634" spans="1:19" ht="18" x14ac:dyDescent="0.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</row>
    <row r="1635" spans="1:19" ht="18" x14ac:dyDescent="0.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</row>
    <row r="1636" spans="1:19" ht="18" x14ac:dyDescent="0.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</row>
    <row r="1637" spans="1:19" ht="18" x14ac:dyDescent="0.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</row>
    <row r="1638" spans="1:19" ht="18" x14ac:dyDescent="0.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</row>
    <row r="1639" spans="1:19" ht="18" x14ac:dyDescent="0.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</row>
    <row r="1640" spans="1:19" ht="18" x14ac:dyDescent="0.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</row>
    <row r="1641" spans="1:19" ht="18" x14ac:dyDescent="0.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</row>
    <row r="1642" spans="1:19" ht="18" x14ac:dyDescent="0.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</row>
    <row r="1643" spans="1:19" ht="18" x14ac:dyDescent="0.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</row>
    <row r="1644" spans="1:19" ht="18" x14ac:dyDescent="0.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</row>
    <row r="1645" spans="1:19" ht="18" x14ac:dyDescent="0.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</row>
    <row r="1646" spans="1:19" ht="18" x14ac:dyDescent="0.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</row>
    <row r="1647" spans="1:19" ht="18" x14ac:dyDescent="0.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</row>
    <row r="1648" spans="1:19" ht="18" x14ac:dyDescent="0.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</row>
    <row r="1649" spans="1:19" ht="18" x14ac:dyDescent="0.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</row>
    <row r="1650" spans="1:19" ht="18" x14ac:dyDescent="0.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</row>
    <row r="1651" spans="1:19" ht="18" x14ac:dyDescent="0.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</row>
    <row r="1652" spans="1:19" ht="18" x14ac:dyDescent="0.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</row>
    <row r="1653" spans="1:19" ht="18" x14ac:dyDescent="0.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</row>
    <row r="1654" spans="1:19" ht="18" x14ac:dyDescent="0.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</row>
    <row r="1655" spans="1:19" ht="18" x14ac:dyDescent="0.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</row>
    <row r="1656" spans="1:19" ht="18" x14ac:dyDescent="0.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</row>
    <row r="1657" spans="1:19" ht="18" x14ac:dyDescent="0.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</row>
    <row r="1658" spans="1:19" ht="18" x14ac:dyDescent="0.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</row>
    <row r="1659" spans="1:19" ht="18" x14ac:dyDescent="0.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</row>
    <row r="1660" spans="1:19" ht="18" x14ac:dyDescent="0.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</row>
    <row r="1661" spans="1:19" ht="18" x14ac:dyDescent="0.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</row>
    <row r="1662" spans="1:19" ht="18" x14ac:dyDescent="0.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</row>
    <row r="1663" spans="1:19" ht="18" x14ac:dyDescent="0.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</row>
    <row r="1664" spans="1:19" ht="18" x14ac:dyDescent="0.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</row>
    <row r="1665" spans="1:19" ht="18" x14ac:dyDescent="0.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</row>
    <row r="1666" spans="1:19" ht="18" x14ac:dyDescent="0.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</row>
    <row r="1667" spans="1:19" ht="18" x14ac:dyDescent="0.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</row>
    <row r="1668" spans="1:19" ht="18" x14ac:dyDescent="0.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</row>
    <row r="1669" spans="1:19" ht="18" x14ac:dyDescent="0.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</row>
    <row r="1670" spans="1:19" ht="18" x14ac:dyDescent="0.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</row>
    <row r="1671" spans="1:19" ht="18" x14ac:dyDescent="0.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</row>
    <row r="1672" spans="1:19" ht="18" x14ac:dyDescent="0.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</row>
    <row r="1673" spans="1:19" ht="18" x14ac:dyDescent="0.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</row>
    <row r="1674" spans="1:19" ht="18" x14ac:dyDescent="0.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</row>
    <row r="1675" spans="1:19" ht="18" x14ac:dyDescent="0.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</row>
    <row r="1676" spans="1:19" ht="18" x14ac:dyDescent="0.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</row>
    <row r="1677" spans="1:19" ht="18" x14ac:dyDescent="0.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</row>
    <row r="1678" spans="1:19" ht="18" x14ac:dyDescent="0.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</row>
    <row r="1679" spans="1:19" ht="18" x14ac:dyDescent="0.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</row>
    <row r="1680" spans="1:19" ht="18" x14ac:dyDescent="0.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</row>
    <row r="1681" spans="1:19" ht="18" x14ac:dyDescent="0.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</row>
    <row r="1682" spans="1:19" ht="18" x14ac:dyDescent="0.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</row>
    <row r="1683" spans="1:19" ht="18" x14ac:dyDescent="0.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</row>
    <row r="1684" spans="1:19" ht="18" x14ac:dyDescent="0.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</row>
    <row r="1685" spans="1:19" ht="18" x14ac:dyDescent="0.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</row>
    <row r="1686" spans="1:19" ht="18" x14ac:dyDescent="0.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</row>
    <row r="1687" spans="1:19" ht="18" x14ac:dyDescent="0.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</row>
    <row r="1688" spans="1:19" ht="18" x14ac:dyDescent="0.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</row>
    <row r="1689" spans="1:19" ht="18" x14ac:dyDescent="0.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</row>
    <row r="1690" spans="1:19" ht="18" x14ac:dyDescent="0.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</row>
    <row r="1691" spans="1:19" ht="18" x14ac:dyDescent="0.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</row>
    <row r="1692" spans="1:19" ht="18" x14ac:dyDescent="0.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</row>
    <row r="1693" spans="1:19" ht="18" x14ac:dyDescent="0.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</row>
    <row r="1694" spans="1:19" ht="18" x14ac:dyDescent="0.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</row>
    <row r="1695" spans="1:19" ht="18" x14ac:dyDescent="0.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</row>
    <row r="1696" spans="1:19" ht="18" x14ac:dyDescent="0.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</row>
    <row r="1697" spans="1:19" ht="18" x14ac:dyDescent="0.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</row>
    <row r="1698" spans="1:19" ht="18" x14ac:dyDescent="0.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</row>
    <row r="1699" spans="1:19" ht="18" x14ac:dyDescent="0.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</row>
    <row r="1700" spans="1:19" ht="18" x14ac:dyDescent="0.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</row>
    <row r="1701" spans="1:19" ht="18" x14ac:dyDescent="0.4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</row>
    <row r="1702" spans="1:19" ht="18" x14ac:dyDescent="0.4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</row>
    <row r="1703" spans="1:19" ht="18" x14ac:dyDescent="0.4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</row>
    <row r="1704" spans="1:19" ht="18" x14ac:dyDescent="0.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</row>
    <row r="1705" spans="1:19" ht="18" x14ac:dyDescent="0.4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</row>
    <row r="1706" spans="1:19" ht="18" x14ac:dyDescent="0.4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</row>
    <row r="1707" spans="1:19" ht="18" x14ac:dyDescent="0.4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</row>
    <row r="1708" spans="1:19" ht="18" x14ac:dyDescent="0.4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</row>
    <row r="1709" spans="1:19" ht="18" x14ac:dyDescent="0.4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</row>
    <row r="1710" spans="1:19" ht="18" x14ac:dyDescent="0.4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</row>
    <row r="1711" spans="1:19" ht="18" x14ac:dyDescent="0.4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</row>
    <row r="1712" spans="1:19" ht="18" x14ac:dyDescent="0.4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</row>
    <row r="1713" spans="1:19" ht="18" x14ac:dyDescent="0.4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</row>
    <row r="1714" spans="1:19" ht="18" x14ac:dyDescent="0.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</row>
    <row r="1715" spans="1:19" ht="18" x14ac:dyDescent="0.4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</row>
    <row r="1716" spans="1:19" ht="18" x14ac:dyDescent="0.4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</row>
    <row r="1717" spans="1:19" ht="18" x14ac:dyDescent="0.4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</row>
    <row r="1718" spans="1:19" ht="18" x14ac:dyDescent="0.4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</row>
    <row r="1719" spans="1:19" ht="18" x14ac:dyDescent="0.4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</row>
    <row r="1720" spans="1:19" ht="18" x14ac:dyDescent="0.4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</row>
    <row r="1721" spans="1:19" ht="18" x14ac:dyDescent="0.4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</row>
    <row r="1722" spans="1:19" ht="18" x14ac:dyDescent="0.4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</row>
    <row r="1723" spans="1:19" ht="18" x14ac:dyDescent="0.4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</row>
    <row r="1724" spans="1:19" ht="18" x14ac:dyDescent="0.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</row>
    <row r="1725" spans="1:19" ht="18" x14ac:dyDescent="0.4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</row>
    <row r="1726" spans="1:19" ht="18" x14ac:dyDescent="0.4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</row>
    <row r="1727" spans="1:19" ht="18" x14ac:dyDescent="0.4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</row>
    <row r="1728" spans="1:19" ht="18" x14ac:dyDescent="0.4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</row>
    <row r="1729" spans="1:19" ht="18" x14ac:dyDescent="0.4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</row>
    <row r="1730" spans="1:19" ht="18" x14ac:dyDescent="0.4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</row>
    <row r="1731" spans="1:19" ht="18" x14ac:dyDescent="0.4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</row>
    <row r="1732" spans="1:19" ht="18" x14ac:dyDescent="0.4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</row>
    <row r="1733" spans="1:19" ht="18" x14ac:dyDescent="0.4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</row>
    <row r="1734" spans="1:19" ht="18" x14ac:dyDescent="0.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</row>
    <row r="1735" spans="1:19" ht="18" x14ac:dyDescent="0.4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</row>
    <row r="1736" spans="1:19" ht="18" x14ac:dyDescent="0.4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</row>
    <row r="1737" spans="1:19" ht="18" x14ac:dyDescent="0.4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</row>
    <row r="1738" spans="1:19" ht="18" x14ac:dyDescent="0.4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</row>
    <row r="1739" spans="1:19" ht="18" x14ac:dyDescent="0.4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</row>
    <row r="1740" spans="1:19" ht="18" x14ac:dyDescent="0.4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</row>
    <row r="1741" spans="1:19" ht="18" x14ac:dyDescent="0.4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</row>
    <row r="1742" spans="1:19" ht="18" x14ac:dyDescent="0.4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</row>
    <row r="1743" spans="1:19" ht="18" x14ac:dyDescent="0.4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</row>
    <row r="1744" spans="1:19" ht="18" x14ac:dyDescent="0.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</row>
    <row r="1745" spans="1:19" ht="18" x14ac:dyDescent="0.4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</row>
    <row r="1746" spans="1:19" ht="18" x14ac:dyDescent="0.4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</row>
    <row r="1747" spans="1:19" ht="18" x14ac:dyDescent="0.4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</row>
    <row r="1748" spans="1:19" ht="18" x14ac:dyDescent="0.4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</row>
    <row r="1749" spans="1:19" ht="18" x14ac:dyDescent="0.4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</row>
    <row r="1750" spans="1:19" ht="18" x14ac:dyDescent="0.4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</row>
    <row r="1751" spans="1:19" ht="18" x14ac:dyDescent="0.4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</row>
    <row r="1752" spans="1:19" ht="18" x14ac:dyDescent="0.4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</row>
    <row r="1753" spans="1:19" ht="18" x14ac:dyDescent="0.4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</row>
    <row r="1754" spans="1:19" ht="18" x14ac:dyDescent="0.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</row>
    <row r="1755" spans="1:19" ht="18" x14ac:dyDescent="0.4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</row>
    <row r="1756" spans="1:19" ht="18" x14ac:dyDescent="0.4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</row>
    <row r="1757" spans="1:19" ht="18" x14ac:dyDescent="0.4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</row>
    <row r="1758" spans="1:19" ht="18" x14ac:dyDescent="0.4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</row>
    <row r="1759" spans="1:19" ht="18" x14ac:dyDescent="0.4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</row>
    <row r="1760" spans="1:19" ht="18" x14ac:dyDescent="0.4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</row>
    <row r="1761" spans="1:19" ht="18" x14ac:dyDescent="0.4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</row>
    <row r="1762" spans="1:19" ht="18" x14ac:dyDescent="0.4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</row>
    <row r="1763" spans="1:19" ht="18" x14ac:dyDescent="0.4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</row>
    <row r="1764" spans="1:19" ht="18" x14ac:dyDescent="0.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</row>
    <row r="1765" spans="1:19" ht="18" x14ac:dyDescent="0.4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</row>
    <row r="1766" spans="1:19" ht="18" x14ac:dyDescent="0.4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</row>
    <row r="1767" spans="1:19" ht="18" x14ac:dyDescent="0.4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</row>
    <row r="1768" spans="1:19" ht="18" x14ac:dyDescent="0.4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</row>
    <row r="1769" spans="1:19" ht="18" x14ac:dyDescent="0.4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</row>
    <row r="1770" spans="1:19" ht="18" x14ac:dyDescent="0.4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</row>
    <row r="1771" spans="1:19" ht="18" x14ac:dyDescent="0.4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</row>
    <row r="1772" spans="1:19" ht="18" x14ac:dyDescent="0.4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</row>
    <row r="1773" spans="1:19" ht="18" x14ac:dyDescent="0.4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</row>
    <row r="1774" spans="1:19" ht="18" x14ac:dyDescent="0.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</row>
    <row r="1775" spans="1:19" ht="18" x14ac:dyDescent="0.4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</row>
    <row r="1776" spans="1:19" ht="18" x14ac:dyDescent="0.4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</row>
    <row r="1777" spans="1:19" ht="18" x14ac:dyDescent="0.4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</row>
    <row r="1778" spans="1:19" ht="18" x14ac:dyDescent="0.4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</row>
    <row r="1779" spans="1:19" ht="18" x14ac:dyDescent="0.4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</row>
    <row r="1780" spans="1:19" ht="18" x14ac:dyDescent="0.4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</row>
    <row r="1781" spans="1:19" ht="18" x14ac:dyDescent="0.4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</row>
    <row r="1782" spans="1:19" ht="18" x14ac:dyDescent="0.4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</row>
    <row r="1783" spans="1:19" ht="18" x14ac:dyDescent="0.4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</row>
    <row r="1784" spans="1:19" ht="18" x14ac:dyDescent="0.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</row>
    <row r="1785" spans="1:19" ht="18" x14ac:dyDescent="0.4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</row>
    <row r="1786" spans="1:19" ht="18" x14ac:dyDescent="0.4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</row>
    <row r="1787" spans="1:19" ht="18" x14ac:dyDescent="0.4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</row>
    <row r="1788" spans="1:19" ht="18" x14ac:dyDescent="0.4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</row>
    <row r="1789" spans="1:19" ht="18" x14ac:dyDescent="0.4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</row>
    <row r="1790" spans="1:19" ht="18" x14ac:dyDescent="0.4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</row>
    <row r="1791" spans="1:19" ht="18" x14ac:dyDescent="0.4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</row>
    <row r="1792" spans="1:19" ht="18" x14ac:dyDescent="0.4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</row>
    <row r="1793" spans="1:19" ht="18" x14ac:dyDescent="0.4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</row>
    <row r="1794" spans="1:19" ht="18" x14ac:dyDescent="0.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</row>
    <row r="1795" spans="1:19" ht="18" x14ac:dyDescent="0.4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</row>
    <row r="1796" spans="1:19" ht="18" x14ac:dyDescent="0.4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</row>
    <row r="1797" spans="1:19" ht="18" x14ac:dyDescent="0.4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</row>
    <row r="1798" spans="1:19" ht="18" x14ac:dyDescent="0.4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</row>
    <row r="1799" spans="1:19" ht="18" x14ac:dyDescent="0.4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</row>
    <row r="1800" spans="1:19" ht="18" x14ac:dyDescent="0.4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</row>
    <row r="1801" spans="1:19" ht="18" x14ac:dyDescent="0.4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</row>
    <row r="1802" spans="1:19" ht="18" x14ac:dyDescent="0.4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</row>
    <row r="1803" spans="1:19" ht="18" x14ac:dyDescent="0.4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</row>
    <row r="1804" spans="1:19" ht="18" x14ac:dyDescent="0.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</row>
    <row r="1805" spans="1:19" ht="18" x14ac:dyDescent="0.4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</row>
    <row r="1806" spans="1:19" ht="18" x14ac:dyDescent="0.4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</row>
    <row r="1807" spans="1:19" ht="18" x14ac:dyDescent="0.4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</row>
    <row r="1808" spans="1:19" ht="18" x14ac:dyDescent="0.4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</row>
    <row r="1809" spans="1:19" ht="18" x14ac:dyDescent="0.4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</row>
    <row r="1810" spans="1:19" ht="18" x14ac:dyDescent="0.4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</row>
    <row r="1811" spans="1:19" ht="18" x14ac:dyDescent="0.4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</row>
    <row r="1812" spans="1:19" ht="18" x14ac:dyDescent="0.4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</row>
    <row r="1813" spans="1:19" ht="18" x14ac:dyDescent="0.4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</row>
    <row r="1814" spans="1:19" ht="18" x14ac:dyDescent="0.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</row>
    <row r="1815" spans="1:19" ht="18" x14ac:dyDescent="0.4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</row>
    <row r="1816" spans="1:19" ht="18" x14ac:dyDescent="0.4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</row>
    <row r="1817" spans="1:19" ht="18" x14ac:dyDescent="0.4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</row>
    <row r="1818" spans="1:19" ht="18" x14ac:dyDescent="0.4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</row>
    <row r="1819" spans="1:19" ht="18" x14ac:dyDescent="0.4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</row>
    <row r="1820" spans="1:19" ht="18" x14ac:dyDescent="0.4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</row>
    <row r="1821" spans="1:19" ht="18" x14ac:dyDescent="0.4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</row>
    <row r="1822" spans="1:19" ht="18" x14ac:dyDescent="0.4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</row>
    <row r="1823" spans="1:19" ht="18" x14ac:dyDescent="0.4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</row>
    <row r="1824" spans="1:19" ht="18" x14ac:dyDescent="0.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</row>
    <row r="1825" spans="1:19" ht="18" x14ac:dyDescent="0.4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</row>
    <row r="1826" spans="1:19" ht="18" x14ac:dyDescent="0.4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</row>
    <row r="1827" spans="1:19" ht="18" x14ac:dyDescent="0.4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</row>
    <row r="1828" spans="1:19" ht="18" x14ac:dyDescent="0.4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</row>
    <row r="1829" spans="1:19" ht="18" x14ac:dyDescent="0.4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</row>
    <row r="1830" spans="1:19" ht="18" x14ac:dyDescent="0.4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</row>
    <row r="1831" spans="1:19" ht="18" x14ac:dyDescent="0.4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</row>
    <row r="1832" spans="1:19" ht="18" x14ac:dyDescent="0.4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</row>
    <row r="1833" spans="1:19" ht="18" x14ac:dyDescent="0.4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</row>
    <row r="1834" spans="1:19" ht="18" x14ac:dyDescent="0.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</row>
    <row r="1835" spans="1:19" ht="18" x14ac:dyDescent="0.4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</row>
    <row r="1836" spans="1:19" ht="18" x14ac:dyDescent="0.4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</row>
    <row r="1837" spans="1:19" ht="18" x14ac:dyDescent="0.4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</row>
    <row r="1838" spans="1:19" ht="18" x14ac:dyDescent="0.4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</row>
    <row r="1839" spans="1:19" ht="18" x14ac:dyDescent="0.4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</row>
    <row r="1840" spans="1:19" ht="18" x14ac:dyDescent="0.4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</row>
    <row r="1841" spans="1:19" ht="18" x14ac:dyDescent="0.4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</row>
    <row r="1842" spans="1:19" ht="18" x14ac:dyDescent="0.4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</row>
    <row r="1843" spans="1:19" ht="18" x14ac:dyDescent="0.4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</row>
    <row r="1844" spans="1:19" ht="18" x14ac:dyDescent="0.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</row>
    <row r="1845" spans="1:19" ht="18" x14ac:dyDescent="0.4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</row>
    <row r="1846" spans="1:19" ht="18" x14ac:dyDescent="0.4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</row>
    <row r="1847" spans="1:19" ht="18" x14ac:dyDescent="0.4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</row>
    <row r="1848" spans="1:19" ht="18" x14ac:dyDescent="0.4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</row>
    <row r="1849" spans="1:19" ht="18" x14ac:dyDescent="0.4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</row>
    <row r="1850" spans="1:19" ht="18" x14ac:dyDescent="0.4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</row>
    <row r="1851" spans="1:19" ht="18" x14ac:dyDescent="0.4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</row>
    <row r="1852" spans="1:19" ht="18" x14ac:dyDescent="0.4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</row>
    <row r="1853" spans="1:19" ht="18" x14ac:dyDescent="0.4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</row>
    <row r="1854" spans="1:19" ht="18" x14ac:dyDescent="0.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</row>
    <row r="1855" spans="1:19" ht="18" x14ac:dyDescent="0.4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</row>
    <row r="1856" spans="1:19" ht="18" x14ac:dyDescent="0.4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</row>
    <row r="1857" spans="1:19" ht="18" x14ac:dyDescent="0.4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</row>
    <row r="1858" spans="1:19" ht="18" x14ac:dyDescent="0.4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</row>
    <row r="1859" spans="1:19" ht="18" x14ac:dyDescent="0.4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</row>
    <row r="1860" spans="1:19" ht="18" x14ac:dyDescent="0.4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</row>
    <row r="1861" spans="1:19" ht="18" x14ac:dyDescent="0.4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</row>
    <row r="1862" spans="1:19" ht="18" x14ac:dyDescent="0.4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</row>
    <row r="1863" spans="1:19" ht="18" x14ac:dyDescent="0.4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</row>
    <row r="1864" spans="1:19" ht="18" x14ac:dyDescent="0.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</row>
    <row r="1865" spans="1:19" ht="18" x14ac:dyDescent="0.4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</row>
    <row r="1866" spans="1:19" ht="18" x14ac:dyDescent="0.4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</row>
    <row r="1867" spans="1:19" ht="18" x14ac:dyDescent="0.4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</row>
    <row r="1868" spans="1:19" ht="18" x14ac:dyDescent="0.4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</row>
    <row r="1869" spans="1:19" ht="18" x14ac:dyDescent="0.4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</row>
    <row r="1870" spans="1:19" ht="18" x14ac:dyDescent="0.4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</row>
    <row r="1871" spans="1:19" ht="18" x14ac:dyDescent="0.4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</row>
    <row r="1872" spans="1:19" ht="18" x14ac:dyDescent="0.4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</row>
    <row r="1873" spans="1:19" ht="18" x14ac:dyDescent="0.4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</row>
    <row r="1874" spans="1:19" ht="18" x14ac:dyDescent="0.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</row>
    <row r="1875" spans="1:19" ht="18" x14ac:dyDescent="0.4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</row>
    <row r="1876" spans="1:19" ht="18" x14ac:dyDescent="0.4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</row>
    <row r="1877" spans="1:19" ht="18" x14ac:dyDescent="0.4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</row>
    <row r="1878" spans="1:19" ht="18" x14ac:dyDescent="0.4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</row>
    <row r="1879" spans="1:19" ht="18" x14ac:dyDescent="0.4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</row>
    <row r="1880" spans="1:19" ht="18" x14ac:dyDescent="0.4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</row>
    <row r="1881" spans="1:19" ht="18" x14ac:dyDescent="0.4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</row>
    <row r="1882" spans="1:19" ht="18" x14ac:dyDescent="0.4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</row>
    <row r="1883" spans="1:19" ht="18" x14ac:dyDescent="0.4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</row>
    <row r="1884" spans="1:19" ht="18" x14ac:dyDescent="0.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</row>
    <row r="1885" spans="1:19" ht="18" x14ac:dyDescent="0.4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</row>
    <row r="1886" spans="1:19" ht="18" x14ac:dyDescent="0.4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</row>
    <row r="1887" spans="1:19" ht="18" x14ac:dyDescent="0.4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</row>
    <row r="1888" spans="1:19" ht="18" x14ac:dyDescent="0.4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</row>
    <row r="1889" spans="1:19" ht="18" x14ac:dyDescent="0.4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</row>
    <row r="1890" spans="1:19" ht="18" x14ac:dyDescent="0.4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</row>
    <row r="1891" spans="1:19" ht="18" x14ac:dyDescent="0.4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</row>
    <row r="1892" spans="1:19" ht="18" x14ac:dyDescent="0.4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</row>
    <row r="1893" spans="1:19" ht="18" x14ac:dyDescent="0.4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</row>
    <row r="1894" spans="1:19" ht="18" x14ac:dyDescent="0.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</row>
    <row r="1895" spans="1:19" ht="18" x14ac:dyDescent="0.4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</row>
    <row r="1896" spans="1:19" ht="18" x14ac:dyDescent="0.4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</row>
    <row r="1897" spans="1:19" ht="18" x14ac:dyDescent="0.4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</row>
    <row r="1898" spans="1:19" ht="18" x14ac:dyDescent="0.4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</row>
    <row r="1899" spans="1:19" ht="18" x14ac:dyDescent="0.4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</row>
    <row r="1900" spans="1:19" ht="18" x14ac:dyDescent="0.4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</row>
    <row r="1901" spans="1:19" ht="18" x14ac:dyDescent="0.4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</row>
    <row r="1902" spans="1:19" ht="18" x14ac:dyDescent="0.4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</row>
    <row r="1903" spans="1:19" ht="18" x14ac:dyDescent="0.4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</row>
    <row r="1904" spans="1:19" ht="18" x14ac:dyDescent="0.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</row>
    <row r="1905" spans="1:19" ht="18" x14ac:dyDescent="0.4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</row>
    <row r="1906" spans="1:19" ht="18" x14ac:dyDescent="0.4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</row>
    <row r="1907" spans="1:19" ht="18" x14ac:dyDescent="0.4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</row>
    <row r="1908" spans="1:19" ht="18" x14ac:dyDescent="0.4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</row>
    <row r="1909" spans="1:19" ht="18" x14ac:dyDescent="0.4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</row>
    <row r="1910" spans="1:19" ht="18" x14ac:dyDescent="0.4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</row>
    <row r="1911" spans="1:19" ht="18" x14ac:dyDescent="0.4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</row>
    <row r="1912" spans="1:19" ht="18" x14ac:dyDescent="0.4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</row>
    <row r="1913" spans="1:19" ht="18" x14ac:dyDescent="0.4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</row>
    <row r="1914" spans="1:19" ht="18" x14ac:dyDescent="0.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</row>
    <row r="1915" spans="1:19" ht="18" x14ac:dyDescent="0.4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</row>
    <row r="1916" spans="1:19" ht="18" x14ac:dyDescent="0.4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</row>
    <row r="1917" spans="1:19" ht="18" x14ac:dyDescent="0.4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</row>
    <row r="1918" spans="1:19" ht="18" x14ac:dyDescent="0.4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</row>
    <row r="1919" spans="1:19" ht="18" x14ac:dyDescent="0.4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</row>
    <row r="1920" spans="1:19" ht="18" x14ac:dyDescent="0.4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</row>
    <row r="1921" spans="1:19" ht="18" x14ac:dyDescent="0.4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</row>
    <row r="1922" spans="1:19" ht="18" x14ac:dyDescent="0.4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</row>
    <row r="1923" spans="1:19" ht="18" x14ac:dyDescent="0.4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</row>
    <row r="1924" spans="1:19" ht="18" x14ac:dyDescent="0.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</row>
    <row r="1925" spans="1:19" ht="18" x14ac:dyDescent="0.4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</row>
    <row r="1926" spans="1:19" ht="18" x14ac:dyDescent="0.4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</row>
    <row r="1927" spans="1:19" ht="18" x14ac:dyDescent="0.4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</row>
    <row r="1928" spans="1:19" ht="18" x14ac:dyDescent="0.4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</row>
    <row r="1929" spans="1:19" ht="18" x14ac:dyDescent="0.4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</row>
    <row r="1930" spans="1:19" ht="18" x14ac:dyDescent="0.4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</row>
    <row r="1931" spans="1:19" ht="18" x14ac:dyDescent="0.4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</row>
    <row r="1932" spans="1:19" ht="18" x14ac:dyDescent="0.4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</row>
    <row r="1933" spans="1:19" ht="18" x14ac:dyDescent="0.4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</row>
    <row r="1934" spans="1:19" ht="18" x14ac:dyDescent="0.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</row>
    <row r="1935" spans="1:19" ht="18" x14ac:dyDescent="0.4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</row>
    <row r="1936" spans="1:19" ht="18" x14ac:dyDescent="0.4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</row>
    <row r="1937" spans="1:19" ht="18" x14ac:dyDescent="0.4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</row>
    <row r="1938" spans="1:19" ht="18" x14ac:dyDescent="0.4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</row>
    <row r="1939" spans="1:19" ht="18" x14ac:dyDescent="0.4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</row>
    <row r="1940" spans="1:19" ht="18" x14ac:dyDescent="0.4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</row>
    <row r="1941" spans="1:19" ht="18" x14ac:dyDescent="0.4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</row>
    <row r="1942" spans="1:19" ht="18" x14ac:dyDescent="0.4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</row>
    <row r="1943" spans="1:19" ht="18" x14ac:dyDescent="0.4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</row>
    <row r="1944" spans="1:19" ht="18" x14ac:dyDescent="0.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</row>
    <row r="1945" spans="1:19" ht="18" x14ac:dyDescent="0.4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</row>
    <row r="1946" spans="1:19" ht="18" x14ac:dyDescent="0.4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</row>
    <row r="1947" spans="1:19" ht="18" x14ac:dyDescent="0.4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</row>
    <row r="1948" spans="1:19" ht="18" x14ac:dyDescent="0.4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</row>
    <row r="1949" spans="1:19" ht="18" x14ac:dyDescent="0.4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</row>
    <row r="1950" spans="1:19" ht="18" x14ac:dyDescent="0.4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</row>
    <row r="1951" spans="1:19" ht="18" x14ac:dyDescent="0.4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</row>
    <row r="1952" spans="1:19" ht="18" x14ac:dyDescent="0.4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</row>
    <row r="1953" spans="1:19" ht="18" x14ac:dyDescent="0.4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</row>
    <row r="1954" spans="1:19" ht="18" x14ac:dyDescent="0.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</row>
    <row r="1955" spans="1:19" ht="18" x14ac:dyDescent="0.4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</row>
    <row r="1956" spans="1:19" ht="18" x14ac:dyDescent="0.4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</row>
    <row r="1957" spans="1:19" ht="18" x14ac:dyDescent="0.4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</row>
    <row r="1958" spans="1:19" ht="18" x14ac:dyDescent="0.4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</row>
    <row r="1959" spans="1:19" ht="18" x14ac:dyDescent="0.4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</row>
    <row r="1960" spans="1:19" ht="18" x14ac:dyDescent="0.4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</row>
    <row r="1961" spans="1:19" ht="18" x14ac:dyDescent="0.4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</row>
    <row r="1962" spans="1:19" ht="18" x14ac:dyDescent="0.4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</row>
    <row r="1963" spans="1:19" ht="18" x14ac:dyDescent="0.4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</row>
    <row r="1964" spans="1:19" ht="18" x14ac:dyDescent="0.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</row>
    <row r="1965" spans="1:19" ht="18" x14ac:dyDescent="0.4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</row>
    <row r="1966" spans="1:19" ht="18" x14ac:dyDescent="0.4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</row>
    <row r="1967" spans="1:19" ht="18" x14ac:dyDescent="0.4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</row>
    <row r="1968" spans="1:19" ht="18" x14ac:dyDescent="0.4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</row>
    <row r="1969" spans="1:19" ht="18" x14ac:dyDescent="0.4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</row>
    <row r="1970" spans="1:19" ht="18" x14ac:dyDescent="0.4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</row>
    <row r="1971" spans="1:19" ht="18" x14ac:dyDescent="0.4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</row>
    <row r="1972" spans="1:19" ht="18" x14ac:dyDescent="0.4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</row>
    <row r="1973" spans="1:19" ht="18" x14ac:dyDescent="0.4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</row>
    <row r="1974" spans="1:19" ht="18" x14ac:dyDescent="0.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</row>
    <row r="1975" spans="1:19" ht="18" x14ac:dyDescent="0.4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</row>
    <row r="1976" spans="1:19" ht="18" x14ac:dyDescent="0.4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</row>
    <row r="1977" spans="1:19" ht="18" x14ac:dyDescent="0.4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</row>
    <row r="1978" spans="1:19" ht="18" x14ac:dyDescent="0.4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</row>
    <row r="1979" spans="1:19" ht="18" x14ac:dyDescent="0.4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</row>
    <row r="1980" spans="1:19" ht="18" x14ac:dyDescent="0.4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</row>
    <row r="1981" spans="1:19" ht="18" x14ac:dyDescent="0.4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</row>
    <row r="1982" spans="1:19" ht="18" x14ac:dyDescent="0.4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</row>
    <row r="1983" spans="1:19" ht="18" x14ac:dyDescent="0.4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</row>
    <row r="1984" spans="1:19" ht="18" x14ac:dyDescent="0.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</row>
    <row r="1985" spans="1:19" ht="18" x14ac:dyDescent="0.4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</row>
    <row r="1986" spans="1:19" ht="18" x14ac:dyDescent="0.4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</row>
    <row r="1987" spans="1:19" ht="18" x14ac:dyDescent="0.4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</row>
    <row r="1988" spans="1:19" ht="18" x14ac:dyDescent="0.4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</row>
    <row r="1989" spans="1:19" ht="18" x14ac:dyDescent="0.4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</row>
    <row r="1990" spans="1:19" ht="18" x14ac:dyDescent="0.4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</row>
    <row r="1991" spans="1:19" ht="18" x14ac:dyDescent="0.4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</row>
    <row r="1992" spans="1:19" ht="18" x14ac:dyDescent="0.4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</row>
    <row r="1993" spans="1:19" ht="18" x14ac:dyDescent="0.4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</row>
    <row r="1994" spans="1:19" ht="18" x14ac:dyDescent="0.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</row>
    <row r="1995" spans="1:19" ht="18" x14ac:dyDescent="0.4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</row>
    <row r="1996" spans="1:19" ht="18" x14ac:dyDescent="0.4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</row>
    <row r="1997" spans="1:19" ht="18" x14ac:dyDescent="0.4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</row>
    <row r="1998" spans="1:19" ht="18" x14ac:dyDescent="0.4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</row>
    <row r="1999" spans="1:19" ht="18" x14ac:dyDescent="0.4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</row>
    <row r="2000" spans="1:19" ht="18" x14ac:dyDescent="0.4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</row>
    <row r="2001" spans="1:19" ht="18" x14ac:dyDescent="0.4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</row>
    <row r="2002" spans="1:19" ht="18" x14ac:dyDescent="0.4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</row>
    <row r="2003" spans="1:19" ht="18" x14ac:dyDescent="0.4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</row>
    <row r="2004" spans="1:19" ht="18" x14ac:dyDescent="0.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</row>
    <row r="2005" spans="1:19" ht="18" x14ac:dyDescent="0.4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331B-C70F-4231-A0D6-EB18A55A7E98}">
  <dimension ref="A1:S1767"/>
  <sheetViews>
    <sheetView workbookViewId="0">
      <selection activeCell="J8" sqref="J8"/>
    </sheetView>
  </sheetViews>
  <sheetFormatPr defaultRowHeight="14.5" x14ac:dyDescent="0.35"/>
  <cols>
    <col min="1" max="1" width="12.54296875" customWidth="1"/>
    <col min="2" max="2" width="19.453125" customWidth="1"/>
    <col min="4" max="4" width="17.54296875" customWidth="1"/>
    <col min="5" max="5" width="13" customWidth="1"/>
    <col min="6" max="6" width="35.1796875" customWidth="1"/>
    <col min="7" max="7" width="8.7265625" customWidth="1"/>
    <col min="8" max="8" width="17.36328125" customWidth="1"/>
  </cols>
  <sheetData>
    <row r="1" spans="1:19" ht="18" x14ac:dyDescent="0.4">
      <c r="A1" s="2" t="s">
        <v>104</v>
      </c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x14ac:dyDescent="0.4">
      <c r="A2" s="2" t="s">
        <v>105</v>
      </c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5" thickBot="1" x14ac:dyDescent="0.45">
      <c r="A3" s="2" t="s">
        <v>162</v>
      </c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.5" thickBot="1" x14ac:dyDescent="0.45">
      <c r="A4" s="5" t="s">
        <v>106</v>
      </c>
      <c r="B4" s="6" t="s">
        <v>31</v>
      </c>
      <c r="C4" s="6" t="s">
        <v>107</v>
      </c>
      <c r="D4" s="6" t="s">
        <v>108</v>
      </c>
      <c r="E4" s="6" t="s">
        <v>106</v>
      </c>
      <c r="F4" s="6" t="s">
        <v>31</v>
      </c>
      <c r="G4" s="19" t="s">
        <v>107</v>
      </c>
      <c r="H4" s="7" t="s">
        <v>109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8" x14ac:dyDescent="0.4">
      <c r="A5" s="8" t="s">
        <v>70</v>
      </c>
      <c r="B5" s="9" t="s">
        <v>110</v>
      </c>
      <c r="C5" s="9"/>
      <c r="D5" s="20">
        <v>25000</v>
      </c>
      <c r="E5" s="9" t="s">
        <v>35</v>
      </c>
      <c r="F5" s="9" t="s">
        <v>111</v>
      </c>
      <c r="G5" s="9"/>
      <c r="H5" s="10">
        <v>300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8" x14ac:dyDescent="0.4">
      <c r="A6" s="21"/>
      <c r="B6" s="22"/>
      <c r="C6" s="22"/>
      <c r="D6" s="22"/>
      <c r="E6" s="12" t="s">
        <v>40</v>
      </c>
      <c r="F6" s="12" t="s">
        <v>112</v>
      </c>
      <c r="G6" s="12"/>
      <c r="H6" s="13">
        <v>450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8" x14ac:dyDescent="0.4">
      <c r="A7" s="11"/>
      <c r="B7" s="12"/>
      <c r="C7" s="12"/>
      <c r="D7" s="12"/>
      <c r="E7" s="12" t="s">
        <v>43</v>
      </c>
      <c r="F7" s="12" t="s">
        <v>113</v>
      </c>
      <c r="G7" s="12"/>
      <c r="H7" s="13">
        <v>50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8" x14ac:dyDescent="0.4">
      <c r="A8" s="11"/>
      <c r="B8" s="12"/>
      <c r="C8" s="12"/>
      <c r="D8" s="12"/>
      <c r="E8" s="12" t="s">
        <v>46</v>
      </c>
      <c r="F8" s="12" t="s">
        <v>114</v>
      </c>
      <c r="G8" s="12"/>
      <c r="H8" s="13">
        <v>330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x14ac:dyDescent="0.4">
      <c r="A9" s="11"/>
      <c r="B9" s="12"/>
      <c r="C9" s="12"/>
      <c r="D9" s="12"/>
      <c r="E9" s="12" t="s">
        <v>49</v>
      </c>
      <c r="F9" s="12" t="s">
        <v>115</v>
      </c>
      <c r="G9" s="12"/>
      <c r="H9" s="13">
        <v>400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" x14ac:dyDescent="0.4">
      <c r="A10" s="11"/>
      <c r="B10" s="12"/>
      <c r="C10" s="12"/>
      <c r="D10" s="12"/>
      <c r="E10" s="12" t="s">
        <v>52</v>
      </c>
      <c r="F10" s="12" t="s">
        <v>116</v>
      </c>
      <c r="G10" s="12"/>
      <c r="H10" s="13">
        <v>350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8" x14ac:dyDescent="0.4">
      <c r="A11" s="11"/>
      <c r="B11" s="12"/>
      <c r="C11" s="12"/>
      <c r="D11" s="12"/>
      <c r="E11" s="12" t="s">
        <v>55</v>
      </c>
      <c r="F11" s="12" t="s">
        <v>117</v>
      </c>
      <c r="G11" s="12"/>
      <c r="H11" s="13">
        <v>500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" x14ac:dyDescent="0.4">
      <c r="A12" s="11"/>
      <c r="B12" s="12"/>
      <c r="C12" s="12"/>
      <c r="D12" s="12"/>
      <c r="E12" s="12" t="s">
        <v>58</v>
      </c>
      <c r="F12" s="12" t="s">
        <v>113</v>
      </c>
      <c r="G12" s="12"/>
      <c r="H12" s="13">
        <v>50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" x14ac:dyDescent="0.4">
      <c r="A13" s="11"/>
      <c r="B13" s="12"/>
      <c r="C13" s="12"/>
      <c r="D13" s="12"/>
      <c r="E13" s="12" t="s">
        <v>59</v>
      </c>
      <c r="F13" s="12" t="s">
        <v>116</v>
      </c>
      <c r="G13" s="12"/>
      <c r="H13" s="13">
        <v>500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" x14ac:dyDescent="0.4">
      <c r="A14" s="11"/>
      <c r="B14" s="12"/>
      <c r="C14" s="12"/>
      <c r="D14" s="12"/>
      <c r="E14" s="12" t="s">
        <v>60</v>
      </c>
      <c r="F14" s="12" t="s">
        <v>117</v>
      </c>
      <c r="G14" s="12"/>
      <c r="H14" s="13">
        <v>300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x14ac:dyDescent="0.4">
      <c r="A15" s="11"/>
      <c r="B15" s="12"/>
      <c r="C15" s="12"/>
      <c r="D15" s="12"/>
      <c r="E15" s="12" t="s">
        <v>61</v>
      </c>
      <c r="F15" s="12" t="s">
        <v>118</v>
      </c>
      <c r="G15" s="12"/>
      <c r="H15" s="13">
        <v>450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" x14ac:dyDescent="0.4">
      <c r="A16" s="11"/>
      <c r="B16" s="12"/>
      <c r="C16" s="12"/>
      <c r="D16" s="12"/>
      <c r="E16" s="12" t="s">
        <v>64</v>
      </c>
      <c r="F16" s="12" t="s">
        <v>119</v>
      </c>
      <c r="G16" s="12"/>
      <c r="H16" s="13">
        <v>200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" x14ac:dyDescent="0.4">
      <c r="A17" s="11"/>
      <c r="B17" s="12"/>
      <c r="C17" s="12"/>
      <c r="D17" s="12"/>
      <c r="E17" s="12" t="s">
        <v>67</v>
      </c>
      <c r="F17" s="12" t="s">
        <v>120</v>
      </c>
      <c r="G17" s="12"/>
      <c r="H17" s="15">
        <v>2000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x14ac:dyDescent="0.4">
      <c r="A18" s="11"/>
      <c r="B18" s="12"/>
      <c r="C18" s="12"/>
      <c r="D18" s="12"/>
      <c r="E18" s="12" t="s">
        <v>74</v>
      </c>
      <c r="F18" s="12" t="s">
        <v>121</v>
      </c>
      <c r="G18" s="12"/>
      <c r="H18" s="15">
        <v>110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x14ac:dyDescent="0.4">
      <c r="A19" s="11"/>
      <c r="B19" s="12"/>
      <c r="C19" s="12"/>
      <c r="D19" s="12"/>
      <c r="E19" s="12" t="s">
        <v>77</v>
      </c>
      <c r="F19" s="12" t="s">
        <v>122</v>
      </c>
      <c r="G19" s="12"/>
      <c r="H19" s="15">
        <v>600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" x14ac:dyDescent="0.4">
      <c r="A20" s="11"/>
      <c r="B20" s="12"/>
      <c r="C20" s="12"/>
      <c r="D20" s="12"/>
      <c r="E20" s="12" t="s">
        <v>79</v>
      </c>
      <c r="F20" s="12" t="s">
        <v>123</v>
      </c>
      <c r="G20" s="12"/>
      <c r="H20" s="15">
        <v>350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x14ac:dyDescent="0.4">
      <c r="A21" s="11"/>
      <c r="B21" s="12"/>
      <c r="C21" s="12"/>
      <c r="D21" s="12"/>
      <c r="E21" s="12" t="s">
        <v>82</v>
      </c>
      <c r="F21" s="12" t="s">
        <v>113</v>
      </c>
      <c r="G21" s="12"/>
      <c r="H21" s="15">
        <v>50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" x14ac:dyDescent="0.4">
      <c r="A22" s="11"/>
      <c r="B22" s="12"/>
      <c r="C22" s="12"/>
      <c r="D22" s="12"/>
      <c r="E22" s="12" t="s">
        <v>83</v>
      </c>
      <c r="F22" s="12" t="s">
        <v>124</v>
      </c>
      <c r="G22" s="12"/>
      <c r="H22" s="15">
        <v>1000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x14ac:dyDescent="0.4">
      <c r="A23" s="11"/>
      <c r="B23" s="12"/>
      <c r="C23" s="12"/>
      <c r="D23" s="12"/>
      <c r="E23" s="12" t="s">
        <v>86</v>
      </c>
      <c r="F23" s="12" t="s">
        <v>118</v>
      </c>
      <c r="G23" s="12"/>
      <c r="H23" s="15">
        <v>150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x14ac:dyDescent="0.4">
      <c r="A24" s="11"/>
      <c r="B24" s="12"/>
      <c r="C24" s="12"/>
      <c r="D24" s="12"/>
      <c r="E24" s="12" t="s">
        <v>87</v>
      </c>
      <c r="F24" s="12" t="s">
        <v>115</v>
      </c>
      <c r="G24" s="12"/>
      <c r="H24" s="15">
        <v>150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" x14ac:dyDescent="0.4">
      <c r="A25" s="11"/>
      <c r="B25" s="12"/>
      <c r="C25" s="12"/>
      <c r="D25" s="12"/>
      <c r="E25" s="12" t="s">
        <v>88</v>
      </c>
      <c r="F25" s="12" t="s">
        <v>123</v>
      </c>
      <c r="G25" s="12"/>
      <c r="H25" s="15">
        <v>320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x14ac:dyDescent="0.4">
      <c r="A26" s="11"/>
      <c r="B26" s="12"/>
      <c r="C26" s="12"/>
      <c r="D26" s="12"/>
      <c r="E26" s="12" t="s">
        <v>89</v>
      </c>
      <c r="F26" s="12" t="s">
        <v>147</v>
      </c>
      <c r="G26" s="12"/>
      <c r="H26" s="15">
        <v>1040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" x14ac:dyDescent="0.4">
      <c r="A27" s="11"/>
      <c r="B27" s="12"/>
      <c r="C27" s="12"/>
      <c r="D27" s="12"/>
      <c r="E27" s="12" t="s">
        <v>93</v>
      </c>
      <c r="F27" s="12" t="s">
        <v>113</v>
      </c>
      <c r="G27" s="12"/>
      <c r="H27" s="15">
        <v>50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x14ac:dyDescent="0.4">
      <c r="A28" s="11"/>
      <c r="B28" s="12"/>
      <c r="C28" s="12"/>
      <c r="D28" s="12"/>
      <c r="E28" s="12" t="s">
        <v>94</v>
      </c>
      <c r="F28" s="12" t="s">
        <v>148</v>
      </c>
      <c r="G28" s="12"/>
      <c r="H28" s="15">
        <v>260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x14ac:dyDescent="0.4">
      <c r="A29" s="11"/>
      <c r="B29" s="12"/>
      <c r="C29" s="12"/>
      <c r="D29" s="12"/>
      <c r="E29" s="12" t="s">
        <v>97</v>
      </c>
      <c r="F29" s="12" t="s">
        <v>149</v>
      </c>
      <c r="G29" s="12"/>
      <c r="H29" s="15">
        <v>550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x14ac:dyDescent="0.4">
      <c r="A30" s="11"/>
      <c r="B30" s="12"/>
      <c r="C30" s="12"/>
      <c r="D30" s="12"/>
      <c r="E30" s="12" t="s">
        <v>100</v>
      </c>
      <c r="F30" s="12" t="s">
        <v>150</v>
      </c>
      <c r="G30" s="12"/>
      <c r="H30" s="15">
        <v>200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x14ac:dyDescent="0.4">
      <c r="A31" s="11"/>
      <c r="B31" s="12"/>
      <c r="C31" s="12"/>
      <c r="D31" s="12"/>
      <c r="E31" s="12" t="s">
        <v>103</v>
      </c>
      <c r="F31" s="12" t="s">
        <v>117</v>
      </c>
      <c r="G31" s="12"/>
      <c r="H31" s="15">
        <v>400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" x14ac:dyDescent="0.4">
      <c r="A32" s="11"/>
      <c r="B32" s="12"/>
      <c r="C32" s="12"/>
      <c r="D32" s="12"/>
      <c r="E32" s="12" t="s">
        <v>125</v>
      </c>
      <c r="F32" s="12" t="s">
        <v>126</v>
      </c>
      <c r="G32" s="12"/>
      <c r="H32" s="15">
        <f>SUM(D33)-SUM(H5:H31)</f>
        <v>13890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x14ac:dyDescent="0.4">
      <c r="A33" s="11"/>
      <c r="B33" s="12"/>
      <c r="C33" s="12"/>
      <c r="D33" s="23">
        <f>D5</f>
        <v>25000</v>
      </c>
      <c r="E33" s="12"/>
      <c r="F33" s="12"/>
      <c r="G33" s="12"/>
      <c r="H33" s="24">
        <f>D33</f>
        <v>25000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.5" thickBot="1" x14ac:dyDescent="0.45">
      <c r="A34" s="16" t="s">
        <v>127</v>
      </c>
      <c r="B34" s="17" t="s">
        <v>128</v>
      </c>
      <c r="C34" s="17"/>
      <c r="D34" s="25">
        <f>H32</f>
        <v>13890</v>
      </c>
      <c r="E34" s="17"/>
      <c r="F34" s="17"/>
      <c r="G34" s="17"/>
      <c r="H34" s="1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x14ac:dyDescent="0.4">
      <c r="A35" s="2" t="s">
        <v>129</v>
      </c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.5" thickBot="1" x14ac:dyDescent="0.45">
      <c r="A36" s="2" t="s">
        <v>162</v>
      </c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.5" thickBot="1" x14ac:dyDescent="0.45">
      <c r="A37" s="5" t="s">
        <v>106</v>
      </c>
      <c r="B37" s="6" t="s">
        <v>31</v>
      </c>
      <c r="C37" s="6" t="s">
        <v>107</v>
      </c>
      <c r="D37" s="6" t="s">
        <v>108</v>
      </c>
      <c r="E37" s="6" t="s">
        <v>106</v>
      </c>
      <c r="F37" s="6" t="s">
        <v>31</v>
      </c>
      <c r="G37" s="19" t="s">
        <v>107</v>
      </c>
      <c r="H37" s="7" t="s">
        <v>109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x14ac:dyDescent="0.4">
      <c r="A38" s="8" t="s">
        <v>35</v>
      </c>
      <c r="B38" s="9" t="s">
        <v>130</v>
      </c>
      <c r="C38" s="9"/>
      <c r="D38" s="9">
        <v>300</v>
      </c>
      <c r="E38" s="9" t="s">
        <v>125</v>
      </c>
      <c r="F38" s="9" t="s">
        <v>126</v>
      </c>
      <c r="G38" s="9"/>
      <c r="H38" s="10">
        <f>H40</f>
        <v>300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x14ac:dyDescent="0.4">
      <c r="A39" s="11"/>
      <c r="B39" s="12"/>
      <c r="C39" s="12"/>
      <c r="D39" s="12"/>
      <c r="E39" s="12"/>
      <c r="F39" s="12"/>
      <c r="G39" s="12"/>
      <c r="H39" s="1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8" x14ac:dyDescent="0.4">
      <c r="A40" s="11"/>
      <c r="B40" s="12"/>
      <c r="C40" s="12"/>
      <c r="D40" s="26">
        <f>D38</f>
        <v>300</v>
      </c>
      <c r="E40" s="12"/>
      <c r="F40" s="12"/>
      <c r="G40" s="12"/>
      <c r="H40" s="27">
        <f>D40</f>
        <v>300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8.5" thickBot="1" x14ac:dyDescent="0.45">
      <c r="A41" s="16" t="s">
        <v>127</v>
      </c>
      <c r="B41" s="17" t="s">
        <v>128</v>
      </c>
      <c r="C41" s="17"/>
      <c r="D41" s="17">
        <f>H38</f>
        <v>300</v>
      </c>
      <c r="E41" s="17"/>
      <c r="F41" s="17"/>
      <c r="G41" s="17"/>
      <c r="H41" s="1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8" x14ac:dyDescent="0.4">
      <c r="A42" s="2" t="s">
        <v>131</v>
      </c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8.5" thickBot="1" x14ac:dyDescent="0.45">
      <c r="A43" s="2" t="s">
        <v>162</v>
      </c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8.5" thickBot="1" x14ac:dyDescent="0.45">
      <c r="A44" s="5" t="s">
        <v>106</v>
      </c>
      <c r="B44" s="6" t="s">
        <v>31</v>
      </c>
      <c r="C44" s="6" t="s">
        <v>107</v>
      </c>
      <c r="D44" s="6" t="s">
        <v>108</v>
      </c>
      <c r="E44" s="6" t="s">
        <v>106</v>
      </c>
      <c r="F44" s="6" t="s">
        <v>31</v>
      </c>
      <c r="G44" s="19" t="s">
        <v>107</v>
      </c>
      <c r="H44" s="7" t="s">
        <v>109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8" x14ac:dyDescent="0.4">
      <c r="A45" s="8" t="s">
        <v>40</v>
      </c>
      <c r="B45" s="9" t="s">
        <v>130</v>
      </c>
      <c r="C45" s="9"/>
      <c r="D45" s="9">
        <v>450</v>
      </c>
      <c r="E45" s="9" t="s">
        <v>125</v>
      </c>
      <c r="F45" s="9" t="s">
        <v>126</v>
      </c>
      <c r="G45" s="9"/>
      <c r="H45" s="10">
        <f>H47</f>
        <v>450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8" x14ac:dyDescent="0.4">
      <c r="A46" s="11"/>
      <c r="B46" s="12"/>
      <c r="C46" s="12"/>
      <c r="D46" s="12"/>
      <c r="E46" s="12"/>
      <c r="F46" s="12"/>
      <c r="G46" s="12"/>
      <c r="H46" s="1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8" x14ac:dyDescent="0.4">
      <c r="A47" s="11"/>
      <c r="B47" s="12"/>
      <c r="C47" s="12"/>
      <c r="D47" s="26">
        <f>D45</f>
        <v>450</v>
      </c>
      <c r="E47" s="12"/>
      <c r="F47" s="12"/>
      <c r="G47" s="12"/>
      <c r="H47" s="27">
        <f>D47</f>
        <v>450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8.5" thickBot="1" x14ac:dyDescent="0.45">
      <c r="A48" s="16" t="s">
        <v>127</v>
      </c>
      <c r="B48" s="17" t="s">
        <v>128</v>
      </c>
      <c r="C48" s="17"/>
      <c r="D48" s="17">
        <f>H45</f>
        <v>450</v>
      </c>
      <c r="E48" s="17"/>
      <c r="F48" s="17"/>
      <c r="G48" s="17"/>
      <c r="H48" s="1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8" x14ac:dyDescent="0.4">
      <c r="A49" s="2" t="s">
        <v>132</v>
      </c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8.5" thickBot="1" x14ac:dyDescent="0.45">
      <c r="A50" s="2" t="s">
        <v>162</v>
      </c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.5" thickBot="1" x14ac:dyDescent="0.45">
      <c r="A51" s="5" t="s">
        <v>106</v>
      </c>
      <c r="B51" s="6" t="s">
        <v>31</v>
      </c>
      <c r="C51" s="6" t="s">
        <v>107</v>
      </c>
      <c r="D51" s="6" t="s">
        <v>108</v>
      </c>
      <c r="E51" s="6" t="s">
        <v>106</v>
      </c>
      <c r="F51" s="6" t="s">
        <v>31</v>
      </c>
      <c r="G51" s="19" t="s">
        <v>107</v>
      </c>
      <c r="H51" s="7" t="s">
        <v>109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8" x14ac:dyDescent="0.4">
      <c r="A52" s="8" t="s">
        <v>43</v>
      </c>
      <c r="B52" s="9" t="s">
        <v>130</v>
      </c>
      <c r="C52" s="9"/>
      <c r="D52" s="9">
        <v>50</v>
      </c>
      <c r="E52" s="9" t="s">
        <v>125</v>
      </c>
      <c r="F52" s="9" t="s">
        <v>126</v>
      </c>
      <c r="G52" s="9"/>
      <c r="H52" s="10">
        <f>H56</f>
        <v>200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" x14ac:dyDescent="0.4">
      <c r="A53" s="11" t="s">
        <v>58</v>
      </c>
      <c r="B53" s="12" t="s">
        <v>130</v>
      </c>
      <c r="C53" s="12"/>
      <c r="D53" s="12">
        <v>50</v>
      </c>
      <c r="E53" s="12"/>
      <c r="F53" s="12"/>
      <c r="G53" s="12"/>
      <c r="H53" s="1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" x14ac:dyDescent="0.4">
      <c r="A54" s="11" t="s">
        <v>82</v>
      </c>
      <c r="B54" s="12" t="s">
        <v>130</v>
      </c>
      <c r="C54" s="12"/>
      <c r="D54" s="12">
        <v>50</v>
      </c>
      <c r="E54" s="12"/>
      <c r="F54" s="12"/>
      <c r="G54" s="12"/>
      <c r="H54" s="1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" x14ac:dyDescent="0.4">
      <c r="A55" s="11" t="s">
        <v>93</v>
      </c>
      <c r="B55" s="12" t="s">
        <v>130</v>
      </c>
      <c r="C55" s="12"/>
      <c r="D55" s="12">
        <v>50</v>
      </c>
      <c r="E55" s="12"/>
      <c r="F55" s="12"/>
      <c r="G55" s="12"/>
      <c r="H55" s="1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8" x14ac:dyDescent="0.4">
      <c r="A56" s="11"/>
      <c r="B56" s="12"/>
      <c r="C56" s="12"/>
      <c r="D56" s="26">
        <f>SUM(D52:D55)</f>
        <v>200</v>
      </c>
      <c r="E56" s="12"/>
      <c r="F56" s="12"/>
      <c r="G56" s="12"/>
      <c r="H56" s="27">
        <f>D56</f>
        <v>200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8.5" thickBot="1" x14ac:dyDescent="0.45">
      <c r="A57" s="16" t="s">
        <v>127</v>
      </c>
      <c r="B57" s="17" t="s">
        <v>128</v>
      </c>
      <c r="C57" s="17"/>
      <c r="D57" s="17">
        <f>H52</f>
        <v>200</v>
      </c>
      <c r="E57" s="17"/>
      <c r="F57" s="17"/>
      <c r="G57" s="17"/>
      <c r="H57" s="1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8" x14ac:dyDescent="0.4">
      <c r="A58" s="2" t="s">
        <v>133</v>
      </c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8.5" thickBot="1" x14ac:dyDescent="0.45">
      <c r="A59" s="2" t="s">
        <v>162</v>
      </c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8.5" thickBot="1" x14ac:dyDescent="0.45">
      <c r="A60" s="5" t="s">
        <v>106</v>
      </c>
      <c r="B60" s="6" t="s">
        <v>31</v>
      </c>
      <c r="C60" s="6" t="s">
        <v>107</v>
      </c>
      <c r="D60" s="6" t="s">
        <v>108</v>
      </c>
      <c r="E60" s="6" t="s">
        <v>106</v>
      </c>
      <c r="F60" s="6" t="s">
        <v>31</v>
      </c>
      <c r="G60" s="19" t="s">
        <v>107</v>
      </c>
      <c r="H60" s="7" t="s">
        <v>109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8" x14ac:dyDescent="0.4">
      <c r="A61" s="8" t="s">
        <v>46</v>
      </c>
      <c r="B61" s="9" t="s">
        <v>130</v>
      </c>
      <c r="C61" s="9"/>
      <c r="D61" s="9">
        <v>330</v>
      </c>
      <c r="E61" s="9" t="s">
        <v>125</v>
      </c>
      <c r="F61" s="9" t="s">
        <v>126</v>
      </c>
      <c r="G61" s="9"/>
      <c r="H61" s="10">
        <f>H63</f>
        <v>330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8" x14ac:dyDescent="0.4">
      <c r="A62" s="11"/>
      <c r="B62" s="12"/>
      <c r="C62" s="12"/>
      <c r="D62" s="12"/>
      <c r="E62" s="12"/>
      <c r="F62" s="12"/>
      <c r="G62" s="12"/>
      <c r="H62" s="1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8" x14ac:dyDescent="0.4">
      <c r="A63" s="11"/>
      <c r="B63" s="12"/>
      <c r="C63" s="12"/>
      <c r="D63" s="26">
        <f>D61</f>
        <v>330</v>
      </c>
      <c r="E63" s="12"/>
      <c r="F63" s="12"/>
      <c r="G63" s="12"/>
      <c r="H63" s="27">
        <f>D63</f>
        <v>330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8.5" thickBot="1" x14ac:dyDescent="0.45">
      <c r="A64" s="16" t="s">
        <v>127</v>
      </c>
      <c r="B64" s="17" t="s">
        <v>128</v>
      </c>
      <c r="C64" s="17"/>
      <c r="D64" s="17">
        <f>H61</f>
        <v>330</v>
      </c>
      <c r="E64" s="17"/>
      <c r="F64" s="17"/>
      <c r="G64" s="17"/>
      <c r="H64" s="1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8" x14ac:dyDescent="0.4">
      <c r="A65" s="2" t="s">
        <v>134</v>
      </c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8.5" thickBot="1" x14ac:dyDescent="0.45">
      <c r="A66" s="2" t="s">
        <v>162</v>
      </c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8.5" thickBot="1" x14ac:dyDescent="0.45">
      <c r="A67" s="5" t="s">
        <v>106</v>
      </c>
      <c r="B67" s="6" t="s">
        <v>31</v>
      </c>
      <c r="C67" s="6" t="s">
        <v>107</v>
      </c>
      <c r="D67" s="6" t="s">
        <v>108</v>
      </c>
      <c r="E67" s="6" t="s">
        <v>106</v>
      </c>
      <c r="F67" s="6" t="s">
        <v>31</v>
      </c>
      <c r="G67" s="19" t="s">
        <v>107</v>
      </c>
      <c r="H67" s="7" t="s">
        <v>109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8" x14ac:dyDescent="0.4">
      <c r="A68" s="8" t="s">
        <v>49</v>
      </c>
      <c r="B68" s="9" t="s">
        <v>130</v>
      </c>
      <c r="C68" s="9"/>
      <c r="D68" s="9">
        <v>400</v>
      </c>
      <c r="E68" s="9" t="s">
        <v>125</v>
      </c>
      <c r="F68" s="9" t="s">
        <v>126</v>
      </c>
      <c r="G68" s="9"/>
      <c r="H68" s="10">
        <f>H70</f>
        <v>550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8" x14ac:dyDescent="0.4">
      <c r="A69" s="11" t="s">
        <v>87</v>
      </c>
      <c r="B69" s="12" t="s">
        <v>130</v>
      </c>
      <c r="C69" s="12"/>
      <c r="D69" s="12">
        <v>150</v>
      </c>
      <c r="E69" s="12"/>
      <c r="F69" s="12"/>
      <c r="G69" s="12"/>
      <c r="H69" s="1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8" x14ac:dyDescent="0.4">
      <c r="A70" s="11"/>
      <c r="B70" s="12"/>
      <c r="C70" s="12"/>
      <c r="D70" s="26">
        <f>SUM(D68:D69)</f>
        <v>550</v>
      </c>
      <c r="E70" s="12"/>
      <c r="F70" s="12"/>
      <c r="G70" s="12"/>
      <c r="H70" s="27">
        <f>D70</f>
        <v>550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8.5" thickBot="1" x14ac:dyDescent="0.45">
      <c r="A71" s="16" t="s">
        <v>127</v>
      </c>
      <c r="B71" s="17" t="s">
        <v>128</v>
      </c>
      <c r="C71" s="17"/>
      <c r="D71" s="17">
        <f>H68</f>
        <v>550</v>
      </c>
      <c r="E71" s="17"/>
      <c r="F71" s="17"/>
      <c r="G71" s="17"/>
      <c r="H71" s="1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8" x14ac:dyDescent="0.4">
      <c r="A72" s="2" t="s">
        <v>135</v>
      </c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8.5" thickBot="1" x14ac:dyDescent="0.45">
      <c r="A73" s="2" t="s">
        <v>162</v>
      </c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8.5" thickBot="1" x14ac:dyDescent="0.45">
      <c r="A74" s="5" t="s">
        <v>106</v>
      </c>
      <c r="B74" s="6" t="s">
        <v>31</v>
      </c>
      <c r="C74" s="6" t="s">
        <v>107</v>
      </c>
      <c r="D74" s="6" t="s">
        <v>108</v>
      </c>
      <c r="E74" s="6" t="s">
        <v>106</v>
      </c>
      <c r="F74" s="6" t="s">
        <v>31</v>
      </c>
      <c r="G74" s="19" t="s">
        <v>107</v>
      </c>
      <c r="H74" s="7" t="s">
        <v>109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8" x14ac:dyDescent="0.4">
      <c r="A75" s="8" t="s">
        <v>52</v>
      </c>
      <c r="B75" s="9" t="s">
        <v>130</v>
      </c>
      <c r="C75" s="9"/>
      <c r="D75" s="9">
        <v>350</v>
      </c>
      <c r="E75" s="9" t="s">
        <v>125</v>
      </c>
      <c r="F75" s="9" t="s">
        <v>126</v>
      </c>
      <c r="G75" s="9"/>
      <c r="H75" s="10">
        <f>H77</f>
        <v>850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8" x14ac:dyDescent="0.4">
      <c r="A76" s="11" t="s">
        <v>59</v>
      </c>
      <c r="B76" s="12" t="s">
        <v>130</v>
      </c>
      <c r="C76" s="12"/>
      <c r="D76" s="12">
        <v>500</v>
      </c>
      <c r="E76" s="12"/>
      <c r="F76" s="12"/>
      <c r="G76" s="12"/>
      <c r="H76" s="1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8" x14ac:dyDescent="0.4">
      <c r="A77" s="11"/>
      <c r="B77" s="12"/>
      <c r="C77" s="12"/>
      <c r="D77" s="26">
        <f>SUM(D75:D76)</f>
        <v>850</v>
      </c>
      <c r="E77" s="12"/>
      <c r="F77" s="12"/>
      <c r="G77" s="12"/>
      <c r="H77" s="27">
        <f>D77</f>
        <v>850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8.5" thickBot="1" x14ac:dyDescent="0.45">
      <c r="A78" s="16" t="s">
        <v>127</v>
      </c>
      <c r="B78" s="17" t="s">
        <v>128</v>
      </c>
      <c r="C78" s="17"/>
      <c r="D78" s="17">
        <f>H75</f>
        <v>850</v>
      </c>
      <c r="E78" s="17"/>
      <c r="F78" s="17"/>
      <c r="G78" s="17"/>
      <c r="H78" s="1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8" x14ac:dyDescent="0.4">
      <c r="A79" s="2" t="s">
        <v>153</v>
      </c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8.5" thickBot="1" x14ac:dyDescent="0.45">
      <c r="A80" s="2" t="s">
        <v>162</v>
      </c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8.5" thickBot="1" x14ac:dyDescent="0.45">
      <c r="A81" s="5" t="s">
        <v>106</v>
      </c>
      <c r="B81" s="6" t="s">
        <v>31</v>
      </c>
      <c r="C81" s="6" t="s">
        <v>107</v>
      </c>
      <c r="D81" s="6" t="s">
        <v>108</v>
      </c>
      <c r="E81" s="6" t="s">
        <v>106</v>
      </c>
      <c r="F81" s="6" t="s">
        <v>31</v>
      </c>
      <c r="G81" s="19" t="s">
        <v>107</v>
      </c>
      <c r="H81" s="7" t="s">
        <v>109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8" x14ac:dyDescent="0.4">
      <c r="A82" s="8" t="s">
        <v>55</v>
      </c>
      <c r="B82" s="9" t="s">
        <v>130</v>
      </c>
      <c r="C82" s="9"/>
      <c r="D82" s="9">
        <v>500</v>
      </c>
      <c r="E82" s="9" t="s">
        <v>125</v>
      </c>
      <c r="F82" s="9" t="s">
        <v>126</v>
      </c>
      <c r="G82" s="9"/>
      <c r="H82" s="10">
        <f>H86</f>
        <v>1800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8" x14ac:dyDescent="0.4">
      <c r="A83" s="11" t="s">
        <v>60</v>
      </c>
      <c r="B83" s="12" t="s">
        <v>130</v>
      </c>
      <c r="C83" s="12"/>
      <c r="D83" s="12">
        <v>300</v>
      </c>
      <c r="E83" s="12"/>
      <c r="F83" s="12"/>
      <c r="G83" s="12"/>
      <c r="H83" s="1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8" x14ac:dyDescent="0.4">
      <c r="A84" s="11" t="s">
        <v>77</v>
      </c>
      <c r="B84" s="12" t="s">
        <v>130</v>
      </c>
      <c r="C84" s="12"/>
      <c r="D84" s="12">
        <v>600</v>
      </c>
      <c r="E84" s="12"/>
      <c r="F84" s="12"/>
      <c r="G84" s="12"/>
      <c r="H84" s="1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8" x14ac:dyDescent="0.4">
      <c r="A85" s="11" t="s">
        <v>103</v>
      </c>
      <c r="B85" s="12" t="s">
        <v>130</v>
      </c>
      <c r="C85" s="12"/>
      <c r="D85" s="12">
        <v>400</v>
      </c>
      <c r="E85" s="12"/>
      <c r="F85" s="12"/>
      <c r="G85" s="12"/>
      <c r="H85" s="1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8" x14ac:dyDescent="0.4">
      <c r="A86" s="11"/>
      <c r="B86" s="12"/>
      <c r="C86" s="12"/>
      <c r="D86" s="26">
        <f>SUM(D82:D85)</f>
        <v>1800</v>
      </c>
      <c r="E86" s="12"/>
      <c r="F86" s="12"/>
      <c r="G86" s="12"/>
      <c r="H86" s="27">
        <f>D86</f>
        <v>1800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.5" thickBot="1" x14ac:dyDescent="0.45">
      <c r="A87" s="16" t="s">
        <v>127</v>
      </c>
      <c r="B87" s="17" t="s">
        <v>128</v>
      </c>
      <c r="C87" s="17"/>
      <c r="D87" s="17">
        <f>H82</f>
        <v>1800</v>
      </c>
      <c r="E87" s="17"/>
      <c r="F87" s="17"/>
      <c r="G87" s="17"/>
      <c r="H87" s="1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x14ac:dyDescent="0.4">
      <c r="A88" s="2" t="s">
        <v>136</v>
      </c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.5" thickBot="1" x14ac:dyDescent="0.45">
      <c r="A89" s="2" t="s">
        <v>162</v>
      </c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.5" thickBot="1" x14ac:dyDescent="0.45">
      <c r="A90" s="5" t="s">
        <v>106</v>
      </c>
      <c r="B90" s="6" t="s">
        <v>31</v>
      </c>
      <c r="C90" s="6" t="s">
        <v>107</v>
      </c>
      <c r="D90" s="6" t="s">
        <v>108</v>
      </c>
      <c r="E90" s="6" t="s">
        <v>106</v>
      </c>
      <c r="F90" s="6" t="s">
        <v>31</v>
      </c>
      <c r="G90" s="19" t="s">
        <v>107</v>
      </c>
      <c r="H90" s="7" t="s">
        <v>109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x14ac:dyDescent="0.4">
      <c r="A91" s="8" t="s">
        <v>61</v>
      </c>
      <c r="B91" s="9" t="s">
        <v>130</v>
      </c>
      <c r="C91" s="9"/>
      <c r="D91" s="9">
        <v>450</v>
      </c>
      <c r="E91" s="9" t="s">
        <v>125</v>
      </c>
      <c r="F91" s="9" t="s">
        <v>126</v>
      </c>
      <c r="G91" s="9"/>
      <c r="H91" s="10">
        <f>H93</f>
        <v>600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x14ac:dyDescent="0.4">
      <c r="A92" s="11" t="s">
        <v>86</v>
      </c>
      <c r="B92" s="12" t="s">
        <v>130</v>
      </c>
      <c r="C92" s="12"/>
      <c r="D92" s="12">
        <v>150</v>
      </c>
      <c r="E92" s="12"/>
      <c r="F92" s="12"/>
      <c r="G92" s="12"/>
      <c r="H92" s="1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x14ac:dyDescent="0.4">
      <c r="A93" s="11"/>
      <c r="B93" s="12"/>
      <c r="C93" s="12"/>
      <c r="D93" s="26">
        <f>SUM(D91:D92)</f>
        <v>600</v>
      </c>
      <c r="E93" s="12"/>
      <c r="F93" s="12"/>
      <c r="G93" s="12"/>
      <c r="H93" s="27">
        <f>D93</f>
        <v>600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8.5" thickBot="1" x14ac:dyDescent="0.45">
      <c r="A94" s="16" t="s">
        <v>127</v>
      </c>
      <c r="B94" s="17" t="s">
        <v>128</v>
      </c>
      <c r="C94" s="17"/>
      <c r="D94" s="17">
        <f>H91</f>
        <v>600</v>
      </c>
      <c r="E94" s="17"/>
      <c r="F94" s="17"/>
      <c r="G94" s="17"/>
      <c r="H94" s="1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8" x14ac:dyDescent="0.4">
      <c r="A95" s="2" t="s">
        <v>137</v>
      </c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8.5" thickBot="1" x14ac:dyDescent="0.45">
      <c r="A96" s="2" t="s">
        <v>162</v>
      </c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8.5" thickBot="1" x14ac:dyDescent="0.45">
      <c r="A97" s="5" t="s">
        <v>106</v>
      </c>
      <c r="B97" s="6" t="s">
        <v>31</v>
      </c>
      <c r="C97" s="6" t="s">
        <v>107</v>
      </c>
      <c r="D97" s="6" t="s">
        <v>108</v>
      </c>
      <c r="E97" s="6" t="s">
        <v>106</v>
      </c>
      <c r="F97" s="6" t="s">
        <v>31</v>
      </c>
      <c r="G97" s="19" t="s">
        <v>107</v>
      </c>
      <c r="H97" s="7" t="s">
        <v>109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8" x14ac:dyDescent="0.4">
      <c r="A98" s="8" t="s">
        <v>64</v>
      </c>
      <c r="B98" s="9" t="s">
        <v>130</v>
      </c>
      <c r="C98" s="9"/>
      <c r="D98" s="9">
        <v>200</v>
      </c>
      <c r="E98" s="9" t="s">
        <v>125</v>
      </c>
      <c r="F98" s="9" t="s">
        <v>126</v>
      </c>
      <c r="G98" s="9"/>
      <c r="H98" s="10">
        <f>H100</f>
        <v>200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" x14ac:dyDescent="0.4">
      <c r="A99" s="11"/>
      <c r="B99" s="12"/>
      <c r="C99" s="12"/>
      <c r="D99" s="12"/>
      <c r="E99" s="12"/>
      <c r="F99" s="12"/>
      <c r="G99" s="12"/>
      <c r="H99" s="1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8" x14ac:dyDescent="0.4">
      <c r="A100" s="11"/>
      <c r="B100" s="12"/>
      <c r="C100" s="12"/>
      <c r="D100" s="26">
        <f>D98</f>
        <v>200</v>
      </c>
      <c r="E100" s="12"/>
      <c r="F100" s="12"/>
      <c r="G100" s="12"/>
      <c r="H100" s="27">
        <f>D100</f>
        <v>200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8.5" thickBot="1" x14ac:dyDescent="0.45">
      <c r="A101" s="16" t="s">
        <v>127</v>
      </c>
      <c r="B101" s="17" t="s">
        <v>128</v>
      </c>
      <c r="C101" s="17"/>
      <c r="D101" s="17">
        <f>H98</f>
        <v>200</v>
      </c>
      <c r="E101" s="17"/>
      <c r="F101" s="17"/>
      <c r="G101" s="17"/>
      <c r="H101" s="1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8" x14ac:dyDescent="0.4">
      <c r="A102" s="2" t="s">
        <v>138</v>
      </c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8.5" thickBot="1" x14ac:dyDescent="0.45">
      <c r="A103" s="2" t="s">
        <v>162</v>
      </c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8.5" thickBot="1" x14ac:dyDescent="0.45">
      <c r="A104" s="5" t="s">
        <v>106</v>
      </c>
      <c r="B104" s="6" t="s">
        <v>31</v>
      </c>
      <c r="C104" s="6" t="s">
        <v>107</v>
      </c>
      <c r="D104" s="6" t="s">
        <v>108</v>
      </c>
      <c r="E104" s="6" t="s">
        <v>106</v>
      </c>
      <c r="F104" s="6" t="s">
        <v>31</v>
      </c>
      <c r="G104" s="19" t="s">
        <v>107</v>
      </c>
      <c r="H104" s="7" t="s">
        <v>109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8" x14ac:dyDescent="0.4">
      <c r="A105" s="8" t="s">
        <v>67</v>
      </c>
      <c r="B105" s="9" t="s">
        <v>130</v>
      </c>
      <c r="C105" s="9"/>
      <c r="D105" s="20">
        <v>2000</v>
      </c>
      <c r="E105" s="9" t="s">
        <v>125</v>
      </c>
      <c r="F105" s="9" t="s">
        <v>126</v>
      </c>
      <c r="G105" s="9"/>
      <c r="H105" s="10">
        <f>H107</f>
        <v>2000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8" x14ac:dyDescent="0.4">
      <c r="A106" s="11"/>
      <c r="B106" s="12"/>
      <c r="C106" s="12"/>
      <c r="D106" s="12"/>
      <c r="E106" s="12"/>
      <c r="F106" s="12"/>
      <c r="G106" s="12"/>
      <c r="H106" s="1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8" x14ac:dyDescent="0.4">
      <c r="A107" s="11"/>
      <c r="B107" s="12"/>
      <c r="C107" s="12"/>
      <c r="D107" s="26">
        <f>D105</f>
        <v>2000</v>
      </c>
      <c r="E107" s="12"/>
      <c r="F107" s="12"/>
      <c r="G107" s="12"/>
      <c r="H107" s="27">
        <f>D107</f>
        <v>2000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.5" thickBot="1" x14ac:dyDescent="0.45">
      <c r="A108" s="16" t="s">
        <v>127</v>
      </c>
      <c r="B108" s="17" t="s">
        <v>128</v>
      </c>
      <c r="C108" s="17"/>
      <c r="D108" s="17">
        <f>H105</f>
        <v>2000</v>
      </c>
      <c r="E108" s="17"/>
      <c r="F108" s="17"/>
      <c r="G108" s="17"/>
      <c r="H108" s="1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8" x14ac:dyDescent="0.4">
      <c r="A109" s="2" t="s">
        <v>139</v>
      </c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8.5" thickBot="1" x14ac:dyDescent="0.45">
      <c r="A110" s="2" t="s">
        <v>162</v>
      </c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8.5" thickBot="1" x14ac:dyDescent="0.45">
      <c r="A111" s="5" t="s">
        <v>106</v>
      </c>
      <c r="B111" s="6" t="s">
        <v>31</v>
      </c>
      <c r="C111" s="6" t="s">
        <v>107</v>
      </c>
      <c r="D111" s="6" t="s">
        <v>108</v>
      </c>
      <c r="E111" s="6" t="s">
        <v>106</v>
      </c>
      <c r="F111" s="6" t="s">
        <v>31</v>
      </c>
      <c r="G111" s="19" t="s">
        <v>107</v>
      </c>
      <c r="H111" s="7" t="s">
        <v>109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8" x14ac:dyDescent="0.4">
      <c r="A112" s="8" t="s">
        <v>125</v>
      </c>
      <c r="B112" s="9" t="s">
        <v>155</v>
      </c>
      <c r="C112" s="9"/>
      <c r="D112" s="20">
        <f>D114</f>
        <v>25000</v>
      </c>
      <c r="E112" s="9" t="s">
        <v>70</v>
      </c>
      <c r="F112" s="9" t="s">
        <v>156</v>
      </c>
      <c r="G112" s="9"/>
      <c r="H112" s="28">
        <v>25000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8" x14ac:dyDescent="0.4">
      <c r="A113" s="11"/>
      <c r="B113" s="12"/>
      <c r="C113" s="12"/>
      <c r="D113" s="12"/>
      <c r="E113" s="12"/>
      <c r="F113" s="12"/>
      <c r="G113" s="12"/>
      <c r="H113" s="1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8" x14ac:dyDescent="0.4">
      <c r="A114" s="11"/>
      <c r="B114" s="12"/>
      <c r="C114" s="12"/>
      <c r="D114" s="23">
        <f>H114</f>
        <v>25000</v>
      </c>
      <c r="E114" s="12"/>
      <c r="F114" s="12"/>
      <c r="G114" s="12"/>
      <c r="H114" s="24">
        <f>H112</f>
        <v>25000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8.5" thickBot="1" x14ac:dyDescent="0.45">
      <c r="A115" s="16"/>
      <c r="B115" s="17"/>
      <c r="C115" s="17"/>
      <c r="D115" s="17"/>
      <c r="E115" s="17" t="s">
        <v>127</v>
      </c>
      <c r="F115" s="17" t="s">
        <v>157</v>
      </c>
      <c r="G115" s="17"/>
      <c r="H115" s="29">
        <f>D112</f>
        <v>25000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8" x14ac:dyDescent="0.4">
      <c r="A116" s="2" t="s">
        <v>140</v>
      </c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8.5" thickBot="1" x14ac:dyDescent="0.45">
      <c r="A117" s="2" t="s">
        <v>162</v>
      </c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8.5" thickBot="1" x14ac:dyDescent="0.45">
      <c r="A118" s="5" t="s">
        <v>106</v>
      </c>
      <c r="B118" s="6" t="s">
        <v>31</v>
      </c>
      <c r="C118" s="6" t="s">
        <v>107</v>
      </c>
      <c r="D118" s="6" t="s">
        <v>108</v>
      </c>
      <c r="E118" s="6" t="s">
        <v>106</v>
      </c>
      <c r="F118" s="6" t="s">
        <v>31</v>
      </c>
      <c r="G118" s="19" t="s">
        <v>107</v>
      </c>
      <c r="H118" s="7" t="s">
        <v>109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8" x14ac:dyDescent="0.4">
      <c r="A119" s="8" t="s">
        <v>74</v>
      </c>
      <c r="B119" s="9" t="s">
        <v>130</v>
      </c>
      <c r="C119" s="9"/>
      <c r="D119" s="9">
        <v>110</v>
      </c>
      <c r="E119" s="9" t="s">
        <v>125</v>
      </c>
      <c r="F119" s="9" t="s">
        <v>126</v>
      </c>
      <c r="G119" s="9"/>
      <c r="H119" s="10">
        <f>H121</f>
        <v>110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8" x14ac:dyDescent="0.4">
      <c r="A120" s="11"/>
      <c r="B120" s="12"/>
      <c r="C120" s="12"/>
      <c r="D120" s="12"/>
      <c r="E120" s="12"/>
      <c r="F120" s="12"/>
      <c r="G120" s="12"/>
      <c r="H120" s="1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8" x14ac:dyDescent="0.4">
      <c r="A121" s="11"/>
      <c r="B121" s="12"/>
      <c r="C121" s="12"/>
      <c r="D121" s="26">
        <f>D119</f>
        <v>110</v>
      </c>
      <c r="E121" s="12"/>
      <c r="F121" s="12"/>
      <c r="G121" s="12"/>
      <c r="H121" s="27">
        <f>D121</f>
        <v>110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8.5" thickBot="1" x14ac:dyDescent="0.45">
      <c r="A122" s="16" t="s">
        <v>127</v>
      </c>
      <c r="B122" s="17" t="s">
        <v>128</v>
      </c>
      <c r="C122" s="17"/>
      <c r="D122" s="17">
        <f>H119</f>
        <v>110</v>
      </c>
      <c r="E122" s="17"/>
      <c r="F122" s="17"/>
      <c r="G122" s="17"/>
      <c r="H122" s="1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8" x14ac:dyDescent="0.4">
      <c r="A123" s="2" t="s">
        <v>141</v>
      </c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8.5" thickBot="1" x14ac:dyDescent="0.45">
      <c r="A124" s="2" t="s">
        <v>162</v>
      </c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8.5" thickBot="1" x14ac:dyDescent="0.45">
      <c r="A125" s="5" t="s">
        <v>106</v>
      </c>
      <c r="B125" s="6" t="s">
        <v>31</v>
      </c>
      <c r="C125" s="6" t="s">
        <v>107</v>
      </c>
      <c r="D125" s="6" t="s">
        <v>108</v>
      </c>
      <c r="E125" s="6" t="s">
        <v>106</v>
      </c>
      <c r="F125" s="6" t="s">
        <v>31</v>
      </c>
      <c r="G125" s="19" t="s">
        <v>107</v>
      </c>
      <c r="H125" s="7" t="s">
        <v>109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8" x14ac:dyDescent="0.4">
      <c r="A126" s="8" t="s">
        <v>79</v>
      </c>
      <c r="B126" s="9" t="s">
        <v>130</v>
      </c>
      <c r="C126" s="9"/>
      <c r="D126" s="9">
        <v>350</v>
      </c>
      <c r="E126" s="9" t="s">
        <v>125</v>
      </c>
      <c r="F126" s="9" t="s">
        <v>126</v>
      </c>
      <c r="G126" s="9"/>
      <c r="H126" s="10">
        <f>H128</f>
        <v>670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8" x14ac:dyDescent="0.4">
      <c r="A127" s="11" t="s">
        <v>88</v>
      </c>
      <c r="B127" s="12" t="s">
        <v>130</v>
      </c>
      <c r="C127" s="12"/>
      <c r="D127" s="12">
        <v>320</v>
      </c>
      <c r="E127" s="12"/>
      <c r="F127" s="12"/>
      <c r="G127" s="12"/>
      <c r="H127" s="1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8" x14ac:dyDescent="0.4">
      <c r="A128" s="11"/>
      <c r="B128" s="12"/>
      <c r="C128" s="12"/>
      <c r="D128" s="26">
        <f>SUM(D126:D127)</f>
        <v>670</v>
      </c>
      <c r="E128" s="12"/>
      <c r="F128" s="12"/>
      <c r="G128" s="12"/>
      <c r="H128" s="27">
        <f>D128</f>
        <v>670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8.5" thickBot="1" x14ac:dyDescent="0.45">
      <c r="A129" s="16" t="s">
        <v>127</v>
      </c>
      <c r="B129" s="17" t="s">
        <v>128</v>
      </c>
      <c r="C129" s="17"/>
      <c r="D129" s="17">
        <f>H126</f>
        <v>670</v>
      </c>
      <c r="E129" s="17"/>
      <c r="F129" s="17"/>
      <c r="G129" s="17"/>
      <c r="H129" s="1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8" x14ac:dyDescent="0.4">
      <c r="A130" s="2" t="s">
        <v>142</v>
      </c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8.5" thickBot="1" x14ac:dyDescent="0.45">
      <c r="A131" s="2" t="s">
        <v>162</v>
      </c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8.5" thickBot="1" x14ac:dyDescent="0.45">
      <c r="A132" s="5" t="s">
        <v>106</v>
      </c>
      <c r="B132" s="6" t="s">
        <v>31</v>
      </c>
      <c r="C132" s="6" t="s">
        <v>107</v>
      </c>
      <c r="D132" s="6" t="s">
        <v>108</v>
      </c>
      <c r="E132" s="6" t="s">
        <v>106</v>
      </c>
      <c r="F132" s="6" t="s">
        <v>31</v>
      </c>
      <c r="G132" s="19" t="s">
        <v>107</v>
      </c>
      <c r="H132" s="7" t="s">
        <v>109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8" x14ac:dyDescent="0.4">
      <c r="A133" s="8" t="s">
        <v>83</v>
      </c>
      <c r="B133" s="9" t="s">
        <v>130</v>
      </c>
      <c r="C133" s="9"/>
      <c r="D133" s="20">
        <v>1000</v>
      </c>
      <c r="E133" s="9" t="s">
        <v>125</v>
      </c>
      <c r="F133" s="9" t="s">
        <v>126</v>
      </c>
      <c r="G133" s="9"/>
      <c r="H133" s="10">
        <f>H135</f>
        <v>1000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8" x14ac:dyDescent="0.4">
      <c r="A134" s="11"/>
      <c r="B134" s="12"/>
      <c r="C134" s="12"/>
      <c r="D134" s="12"/>
      <c r="E134" s="12"/>
      <c r="F134" s="12"/>
      <c r="G134" s="12"/>
      <c r="H134" s="1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8" x14ac:dyDescent="0.4">
      <c r="A135" s="11"/>
      <c r="B135" s="12"/>
      <c r="C135" s="12"/>
      <c r="D135" s="26">
        <f>D133</f>
        <v>1000</v>
      </c>
      <c r="E135" s="12"/>
      <c r="F135" s="12"/>
      <c r="G135" s="12"/>
      <c r="H135" s="27">
        <f>D135</f>
        <v>1000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8.5" thickBot="1" x14ac:dyDescent="0.45">
      <c r="A136" s="16" t="s">
        <v>127</v>
      </c>
      <c r="B136" s="17" t="s">
        <v>128</v>
      </c>
      <c r="C136" s="17"/>
      <c r="D136" s="17">
        <f>H133</f>
        <v>1000</v>
      </c>
      <c r="E136" s="17"/>
      <c r="F136" s="17"/>
      <c r="G136" s="17"/>
      <c r="H136" s="1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8" x14ac:dyDescent="0.4">
      <c r="A137" s="2" t="s">
        <v>143</v>
      </c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8.5" thickBot="1" x14ac:dyDescent="0.45">
      <c r="A138" s="2" t="s">
        <v>162</v>
      </c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8.5" thickBot="1" x14ac:dyDescent="0.45">
      <c r="A139" s="5" t="s">
        <v>106</v>
      </c>
      <c r="B139" s="6" t="s">
        <v>31</v>
      </c>
      <c r="C139" s="6" t="s">
        <v>107</v>
      </c>
      <c r="D139" s="6" t="s">
        <v>108</v>
      </c>
      <c r="E139" s="6" t="s">
        <v>106</v>
      </c>
      <c r="F139" s="6" t="s">
        <v>31</v>
      </c>
      <c r="G139" s="19" t="s">
        <v>107</v>
      </c>
      <c r="H139" s="7" t="s">
        <v>109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8" x14ac:dyDescent="0.4">
      <c r="A140" s="8" t="s">
        <v>89</v>
      </c>
      <c r="B140" s="9" t="s">
        <v>130</v>
      </c>
      <c r="C140" s="9"/>
      <c r="D140" s="20">
        <v>1040</v>
      </c>
      <c r="E140" s="9" t="s">
        <v>125</v>
      </c>
      <c r="F140" s="9" t="s">
        <v>126</v>
      </c>
      <c r="G140" s="9"/>
      <c r="H140" s="10">
        <f>H142</f>
        <v>1040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8" x14ac:dyDescent="0.4">
      <c r="A141" s="11"/>
      <c r="B141" s="12"/>
      <c r="C141" s="12"/>
      <c r="D141" s="12"/>
      <c r="E141" s="12"/>
      <c r="F141" s="12"/>
      <c r="G141" s="12"/>
      <c r="H141" s="1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8" x14ac:dyDescent="0.4">
      <c r="A142" s="11"/>
      <c r="B142" s="12"/>
      <c r="C142" s="12"/>
      <c r="D142" s="26">
        <f>D140</f>
        <v>1040</v>
      </c>
      <c r="E142" s="12"/>
      <c r="F142" s="12"/>
      <c r="G142" s="12"/>
      <c r="H142" s="27">
        <f>D142</f>
        <v>1040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8.5" thickBot="1" x14ac:dyDescent="0.45">
      <c r="A143" s="16" t="s">
        <v>127</v>
      </c>
      <c r="B143" s="17" t="s">
        <v>128</v>
      </c>
      <c r="C143" s="17"/>
      <c r="D143" s="17">
        <f>H140</f>
        <v>1040</v>
      </c>
      <c r="E143" s="17"/>
      <c r="F143" s="17"/>
      <c r="G143" s="17"/>
      <c r="H143" s="1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8" x14ac:dyDescent="0.4">
      <c r="A144" s="2" t="s">
        <v>144</v>
      </c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8.5" thickBot="1" x14ac:dyDescent="0.45">
      <c r="A145" s="2" t="s">
        <v>162</v>
      </c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8.5" thickBot="1" x14ac:dyDescent="0.45">
      <c r="A146" s="5" t="s">
        <v>106</v>
      </c>
      <c r="B146" s="6" t="s">
        <v>31</v>
      </c>
      <c r="C146" s="6" t="s">
        <v>107</v>
      </c>
      <c r="D146" s="6" t="s">
        <v>108</v>
      </c>
      <c r="E146" s="6" t="s">
        <v>106</v>
      </c>
      <c r="F146" s="6" t="s">
        <v>31</v>
      </c>
      <c r="G146" s="19" t="s">
        <v>107</v>
      </c>
      <c r="H146" s="7" t="s">
        <v>109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8" x14ac:dyDescent="0.4">
      <c r="A147" s="8" t="s">
        <v>94</v>
      </c>
      <c r="B147" s="9" t="s">
        <v>130</v>
      </c>
      <c r="C147" s="9"/>
      <c r="D147" s="20">
        <v>260</v>
      </c>
      <c r="E147" s="9" t="s">
        <v>125</v>
      </c>
      <c r="F147" s="9" t="s">
        <v>126</v>
      </c>
      <c r="G147" s="9"/>
      <c r="H147" s="10">
        <f>H149</f>
        <v>260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8" x14ac:dyDescent="0.4">
      <c r="A148" s="11"/>
      <c r="B148" s="12"/>
      <c r="C148" s="12"/>
      <c r="D148" s="12"/>
      <c r="E148" s="12"/>
      <c r="F148" s="12"/>
      <c r="G148" s="12"/>
      <c r="H148" s="1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8" x14ac:dyDescent="0.4">
      <c r="A149" s="11"/>
      <c r="B149" s="12"/>
      <c r="C149" s="12"/>
      <c r="D149" s="26">
        <f>D147</f>
        <v>260</v>
      </c>
      <c r="E149" s="12"/>
      <c r="F149" s="12"/>
      <c r="G149" s="12"/>
      <c r="H149" s="27">
        <f>D149</f>
        <v>260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8.5" thickBot="1" x14ac:dyDescent="0.45">
      <c r="A150" s="16" t="s">
        <v>127</v>
      </c>
      <c r="B150" s="17" t="s">
        <v>128</v>
      </c>
      <c r="C150" s="17"/>
      <c r="D150" s="17">
        <f>H147</f>
        <v>260</v>
      </c>
      <c r="E150" s="17"/>
      <c r="F150" s="17"/>
      <c r="G150" s="17"/>
      <c r="H150" s="1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8" x14ac:dyDescent="0.4">
      <c r="A151" s="2" t="s">
        <v>145</v>
      </c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8.5" thickBot="1" x14ac:dyDescent="0.45">
      <c r="A152" s="2" t="s">
        <v>162</v>
      </c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8.5" thickBot="1" x14ac:dyDescent="0.45">
      <c r="A153" s="5" t="s">
        <v>106</v>
      </c>
      <c r="B153" s="6" t="s">
        <v>31</v>
      </c>
      <c r="C153" s="6" t="s">
        <v>107</v>
      </c>
      <c r="D153" s="6" t="s">
        <v>108</v>
      </c>
      <c r="E153" s="6" t="s">
        <v>106</v>
      </c>
      <c r="F153" s="6" t="s">
        <v>31</v>
      </c>
      <c r="G153" s="19" t="s">
        <v>107</v>
      </c>
      <c r="H153" s="7" t="s">
        <v>109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8" x14ac:dyDescent="0.4">
      <c r="A154" s="8" t="s">
        <v>97</v>
      </c>
      <c r="B154" s="9" t="s">
        <v>130</v>
      </c>
      <c r="C154" s="9"/>
      <c r="D154" s="20">
        <v>550</v>
      </c>
      <c r="E154" s="9" t="s">
        <v>125</v>
      </c>
      <c r="F154" s="9" t="s">
        <v>126</v>
      </c>
      <c r="G154" s="9"/>
      <c r="H154" s="10">
        <f>H156</f>
        <v>550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8" x14ac:dyDescent="0.4">
      <c r="A155" s="11"/>
      <c r="B155" s="12"/>
      <c r="C155" s="12"/>
      <c r="D155" s="12"/>
      <c r="E155" s="12"/>
      <c r="F155" s="12"/>
      <c r="G155" s="12"/>
      <c r="H155" s="1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8" x14ac:dyDescent="0.4">
      <c r="A156" s="11"/>
      <c r="B156" s="12"/>
      <c r="C156" s="12"/>
      <c r="D156" s="26">
        <f>D154</f>
        <v>550</v>
      </c>
      <c r="E156" s="12"/>
      <c r="F156" s="12"/>
      <c r="G156" s="12"/>
      <c r="H156" s="27">
        <f>D156</f>
        <v>550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8.5" thickBot="1" x14ac:dyDescent="0.45">
      <c r="A157" s="16" t="s">
        <v>127</v>
      </c>
      <c r="B157" s="17" t="s">
        <v>128</v>
      </c>
      <c r="C157" s="17"/>
      <c r="D157" s="17">
        <f>H154</f>
        <v>550</v>
      </c>
      <c r="E157" s="17"/>
      <c r="F157" s="17"/>
      <c r="G157" s="17"/>
      <c r="H157" s="1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8" x14ac:dyDescent="0.4">
      <c r="A158" s="2" t="s">
        <v>146</v>
      </c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8.5" thickBot="1" x14ac:dyDescent="0.45">
      <c r="A159" s="2" t="s">
        <v>162</v>
      </c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8.5" thickBot="1" x14ac:dyDescent="0.45">
      <c r="A160" s="5" t="s">
        <v>106</v>
      </c>
      <c r="B160" s="6" t="s">
        <v>31</v>
      </c>
      <c r="C160" s="6" t="s">
        <v>107</v>
      </c>
      <c r="D160" s="6" t="s">
        <v>108</v>
      </c>
      <c r="E160" s="6" t="s">
        <v>106</v>
      </c>
      <c r="F160" s="6" t="s">
        <v>31</v>
      </c>
      <c r="G160" s="19" t="s">
        <v>107</v>
      </c>
      <c r="H160" s="7" t="s">
        <v>109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8" x14ac:dyDescent="0.4">
      <c r="A161" s="8" t="s">
        <v>100</v>
      </c>
      <c r="B161" s="9" t="s">
        <v>130</v>
      </c>
      <c r="C161" s="9"/>
      <c r="D161" s="20">
        <v>200</v>
      </c>
      <c r="E161" s="9" t="s">
        <v>125</v>
      </c>
      <c r="F161" s="9" t="s">
        <v>126</v>
      </c>
      <c r="G161" s="9"/>
      <c r="H161" s="10">
        <f>H163</f>
        <v>200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8" x14ac:dyDescent="0.4">
      <c r="A162" s="11"/>
      <c r="B162" s="12"/>
      <c r="C162" s="12"/>
      <c r="D162" s="12"/>
      <c r="E162" s="12"/>
      <c r="F162" s="12"/>
      <c r="G162" s="12"/>
      <c r="H162" s="1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8" x14ac:dyDescent="0.4">
      <c r="A163" s="11"/>
      <c r="B163" s="12"/>
      <c r="C163" s="12"/>
      <c r="D163" s="26">
        <f>D161</f>
        <v>200</v>
      </c>
      <c r="E163" s="12"/>
      <c r="F163" s="12"/>
      <c r="G163" s="12"/>
      <c r="H163" s="27">
        <f>D163</f>
        <v>200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8.5" thickBot="1" x14ac:dyDescent="0.45">
      <c r="A164" s="16" t="s">
        <v>127</v>
      </c>
      <c r="B164" s="17" t="s">
        <v>128</v>
      </c>
      <c r="C164" s="17"/>
      <c r="D164" s="17">
        <f>H161</f>
        <v>200</v>
      </c>
      <c r="E164" s="17"/>
      <c r="F164" s="17"/>
      <c r="G164" s="17"/>
      <c r="H164" s="1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1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ht="1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ht="1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ht="1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ht="1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ht="1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ht="1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ht="1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ht="1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ht="1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 ht="1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 ht="1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ht="1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 ht="1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ht="1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 ht="1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 ht="1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 ht="1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ht="1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 ht="1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 ht="1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 ht="1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 ht="1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 ht="1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 ht="1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 ht="1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  <row r="1027" spans="1:19" ht="1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</row>
    <row r="1028" spans="1:19" ht="1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</row>
    <row r="1029" spans="1:19" ht="1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</row>
    <row r="1030" spans="1:19" ht="1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</row>
    <row r="1031" spans="1:19" ht="1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</row>
    <row r="1032" spans="1:19" ht="1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</row>
    <row r="1033" spans="1:19" ht="1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</row>
    <row r="1034" spans="1:19" ht="1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 ht="1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</row>
    <row r="1036" spans="1:19" ht="1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ht="1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 ht="1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</row>
    <row r="1039" spans="1:19" ht="1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</row>
    <row r="1040" spans="1:19" ht="1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</row>
    <row r="1041" spans="1:19" ht="1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</row>
    <row r="1042" spans="1:19" ht="1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</row>
    <row r="1043" spans="1:19" ht="1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</row>
    <row r="1044" spans="1:19" ht="1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</row>
    <row r="1045" spans="1:19" ht="1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</row>
    <row r="1046" spans="1:19" ht="1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</row>
    <row r="1047" spans="1:19" ht="1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</row>
    <row r="1048" spans="1:19" ht="1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</row>
    <row r="1049" spans="1:19" ht="1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</row>
    <row r="1050" spans="1:19" ht="1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</row>
    <row r="1051" spans="1:19" ht="1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</row>
    <row r="1052" spans="1:19" ht="1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</row>
    <row r="1053" spans="1:19" ht="1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</row>
    <row r="1054" spans="1:19" ht="1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</row>
    <row r="1055" spans="1:19" ht="1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</row>
    <row r="1056" spans="1:19" ht="1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</row>
    <row r="1057" spans="1:19" ht="1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</row>
    <row r="1058" spans="1:19" ht="1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</row>
    <row r="1059" spans="1:19" ht="1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</row>
    <row r="1060" spans="1:19" ht="1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</row>
    <row r="1061" spans="1:19" ht="1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</row>
    <row r="1062" spans="1:19" ht="1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</row>
    <row r="1063" spans="1:19" ht="1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</row>
    <row r="1064" spans="1:19" ht="1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</row>
    <row r="1065" spans="1:19" ht="1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</row>
    <row r="1066" spans="1:19" ht="1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</row>
    <row r="1067" spans="1:19" ht="1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</row>
    <row r="1068" spans="1:19" ht="1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</row>
    <row r="1069" spans="1:19" ht="1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</row>
    <row r="1070" spans="1:19" ht="1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</row>
    <row r="1071" spans="1:19" ht="1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</row>
    <row r="1072" spans="1:19" ht="1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</row>
    <row r="1073" spans="1:19" ht="1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</row>
    <row r="1074" spans="1:19" ht="1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</row>
    <row r="1075" spans="1:19" ht="1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</row>
    <row r="1076" spans="1:19" ht="1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</row>
    <row r="1077" spans="1:19" ht="1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</row>
    <row r="1078" spans="1:19" ht="1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</row>
    <row r="1079" spans="1:19" ht="1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</row>
    <row r="1080" spans="1:19" ht="1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</row>
    <row r="1081" spans="1:19" ht="1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</row>
    <row r="1082" spans="1:19" ht="1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</row>
    <row r="1083" spans="1:19" ht="1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</row>
    <row r="1084" spans="1:19" ht="1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</row>
    <row r="1085" spans="1:19" ht="1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</row>
    <row r="1086" spans="1:19" ht="1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</row>
    <row r="1087" spans="1:19" ht="1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</row>
    <row r="1088" spans="1:19" ht="1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</row>
    <row r="1089" spans="1:19" ht="1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</row>
    <row r="1090" spans="1:19" ht="1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</row>
    <row r="1091" spans="1:19" ht="1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</row>
    <row r="1092" spans="1:19" ht="1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</row>
    <row r="1093" spans="1:19" ht="1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</row>
    <row r="1094" spans="1:19" ht="1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</row>
    <row r="1095" spans="1:19" ht="1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</row>
    <row r="1096" spans="1:19" ht="1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spans="1:19" ht="1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</row>
    <row r="1098" spans="1:19" ht="1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</row>
    <row r="1099" spans="1:19" ht="1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</row>
    <row r="1100" spans="1:19" ht="1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</row>
    <row r="1101" spans="1:19" ht="1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</row>
    <row r="1102" spans="1:19" ht="1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</row>
    <row r="1103" spans="1:19" ht="1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spans="1:19" ht="1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</row>
    <row r="1105" spans="1:19" ht="1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</row>
    <row r="1106" spans="1:19" ht="1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</row>
    <row r="1107" spans="1:19" ht="1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</row>
    <row r="1108" spans="1:19" ht="1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</row>
    <row r="1109" spans="1:19" ht="1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</row>
    <row r="1110" spans="1:19" ht="1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spans="1:19" ht="1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</row>
    <row r="1112" spans="1:19" ht="18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</row>
    <row r="1113" spans="1:19" ht="18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</row>
    <row r="1114" spans="1:19" ht="18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</row>
    <row r="1115" spans="1:19" ht="18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</row>
    <row r="1116" spans="1:19" ht="18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</row>
    <row r="1117" spans="1:19" ht="18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 spans="1:19" ht="18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 spans="1:19" ht="18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  <row r="1120" spans="1:19" ht="18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</row>
    <row r="1121" spans="1:19" ht="18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</row>
    <row r="1122" spans="1:19" ht="18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</row>
    <row r="1123" spans="1:19" ht="18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</row>
    <row r="1124" spans="1:19" ht="18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</row>
    <row r="1125" spans="1:19" ht="18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</row>
    <row r="1126" spans="1:19" ht="18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</row>
    <row r="1127" spans="1:19" ht="18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</row>
    <row r="1128" spans="1:19" ht="18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</row>
    <row r="1129" spans="1:19" ht="18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</row>
    <row r="1130" spans="1:19" ht="18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</row>
    <row r="1131" spans="1:19" ht="18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</row>
    <row r="1132" spans="1:19" ht="18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</row>
    <row r="1133" spans="1:19" ht="18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</row>
    <row r="1134" spans="1:19" ht="18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</row>
    <row r="1135" spans="1:19" ht="18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</row>
    <row r="1136" spans="1:19" ht="18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</row>
    <row r="1137" spans="1:19" ht="18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</row>
    <row r="1138" spans="1:19" ht="18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</row>
    <row r="1139" spans="1:19" ht="18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</row>
    <row r="1140" spans="1:19" ht="18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</row>
    <row r="1141" spans="1:19" ht="18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</row>
    <row r="1142" spans="1:19" ht="18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</row>
    <row r="1143" spans="1:19" ht="18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</row>
    <row r="1144" spans="1:19" ht="18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</row>
    <row r="1145" spans="1:19" ht="18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</row>
    <row r="1146" spans="1:19" ht="18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</row>
    <row r="1147" spans="1:19" ht="18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</row>
    <row r="1148" spans="1:19" ht="18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</row>
    <row r="1149" spans="1:19" ht="18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</row>
    <row r="1150" spans="1:19" ht="18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</row>
    <row r="1151" spans="1:19" ht="18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</row>
    <row r="1152" spans="1:19" ht="18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</row>
    <row r="1153" spans="1:19" ht="18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</row>
    <row r="1154" spans="1:19" ht="18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</row>
    <row r="1155" spans="1:19" ht="18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</row>
    <row r="1156" spans="1:19" ht="18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</row>
    <row r="1157" spans="1:19" ht="18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</row>
    <row r="1158" spans="1:19" ht="18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</row>
    <row r="1159" spans="1:19" ht="18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</row>
    <row r="1160" spans="1:19" ht="18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</row>
    <row r="1161" spans="1:19" ht="18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</row>
    <row r="1162" spans="1:19" ht="18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</row>
    <row r="1163" spans="1:19" ht="18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</row>
    <row r="1164" spans="1:19" ht="18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</row>
    <row r="1165" spans="1:19" ht="18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</row>
    <row r="1166" spans="1:19" ht="18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</row>
    <row r="1167" spans="1:19" ht="18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</row>
    <row r="1168" spans="1:19" ht="18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</row>
    <row r="1169" spans="1:19" ht="18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</row>
    <row r="1170" spans="1:19" ht="18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</row>
    <row r="1171" spans="1:19" ht="18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</row>
    <row r="1172" spans="1:19" ht="18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</row>
    <row r="1173" spans="1:19" ht="18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</row>
    <row r="1174" spans="1:19" ht="18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</row>
    <row r="1175" spans="1:19" ht="18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</row>
    <row r="1176" spans="1:19" ht="18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</row>
    <row r="1177" spans="1:19" ht="18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</row>
    <row r="1178" spans="1:19" ht="18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</row>
    <row r="1179" spans="1:19" ht="18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</row>
    <row r="1180" spans="1:19" ht="18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</row>
    <row r="1181" spans="1:19" ht="18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</row>
    <row r="1182" spans="1:19" ht="18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</row>
    <row r="1183" spans="1:19" ht="18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</row>
    <row r="1184" spans="1:19" ht="18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</row>
    <row r="1185" spans="1:19" ht="18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</row>
    <row r="1186" spans="1:19" ht="18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</row>
    <row r="1187" spans="1:19" ht="18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</row>
    <row r="1188" spans="1:19" ht="18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</row>
    <row r="1189" spans="1:19" ht="18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</row>
    <row r="1190" spans="1:19" ht="18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</row>
    <row r="1191" spans="1:19" ht="18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</row>
    <row r="1192" spans="1:19" ht="18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</row>
    <row r="1193" spans="1:19" ht="18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</row>
    <row r="1194" spans="1:19" ht="18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</row>
    <row r="1195" spans="1:19" ht="18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</row>
    <row r="1196" spans="1:19" ht="18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</row>
    <row r="1197" spans="1:19" ht="18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</row>
    <row r="1198" spans="1:19" ht="18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</row>
    <row r="1199" spans="1:19" ht="18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</row>
    <row r="1200" spans="1:19" ht="18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</row>
    <row r="1201" spans="1:19" ht="18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</row>
    <row r="1202" spans="1:19" ht="18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</row>
    <row r="1203" spans="1:19" ht="18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</row>
    <row r="1204" spans="1:19" ht="18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</row>
    <row r="1205" spans="1:19" ht="18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</row>
    <row r="1206" spans="1:19" ht="18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</row>
    <row r="1207" spans="1:19" ht="18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</row>
    <row r="1208" spans="1:19" ht="18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</row>
    <row r="1209" spans="1:19" ht="18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</row>
    <row r="1210" spans="1:19" ht="18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</row>
    <row r="1211" spans="1:19" ht="18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</row>
    <row r="1212" spans="1:19" ht="18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</row>
    <row r="1213" spans="1:19" ht="18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</row>
    <row r="1214" spans="1:19" ht="18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</row>
    <row r="1215" spans="1:19" ht="18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</row>
    <row r="1216" spans="1:19" ht="18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</row>
    <row r="1217" spans="1:19" ht="18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</row>
    <row r="1218" spans="1:19" ht="18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</row>
    <row r="1219" spans="1:19" ht="18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</row>
    <row r="1220" spans="1:19" ht="18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</row>
    <row r="1221" spans="1:19" ht="18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</row>
    <row r="1222" spans="1:19" ht="18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</row>
    <row r="1223" spans="1:19" ht="18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</row>
    <row r="1224" spans="1:19" ht="18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</row>
    <row r="1225" spans="1:19" ht="18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</row>
    <row r="1226" spans="1:19" ht="18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</row>
    <row r="1227" spans="1:19" ht="18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</row>
    <row r="1228" spans="1:19" ht="18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</row>
    <row r="1229" spans="1:19" ht="18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</row>
    <row r="1230" spans="1:19" ht="18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</row>
    <row r="1231" spans="1:19" ht="18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</row>
    <row r="1232" spans="1:19" ht="18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</row>
    <row r="1233" spans="1:19" ht="18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</row>
    <row r="1234" spans="1:19" ht="18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</row>
    <row r="1235" spans="1:19" ht="18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</row>
    <row r="1236" spans="1:19" ht="18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</row>
    <row r="1237" spans="1:19" ht="18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</row>
    <row r="1238" spans="1:19" ht="18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</row>
    <row r="1239" spans="1:19" ht="18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</row>
    <row r="1240" spans="1:19" ht="18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</row>
    <row r="1241" spans="1:19" ht="18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</row>
    <row r="1242" spans="1:19" ht="18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</row>
    <row r="1243" spans="1:19" ht="18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</row>
    <row r="1244" spans="1:19" ht="18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</row>
    <row r="1245" spans="1:19" ht="18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</row>
    <row r="1246" spans="1:19" ht="18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</row>
    <row r="1247" spans="1:19" ht="18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</row>
    <row r="1248" spans="1:19" ht="18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</row>
    <row r="1249" spans="1:19" ht="18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</row>
    <row r="1250" spans="1:19" ht="18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</row>
    <row r="1251" spans="1:19" ht="18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</row>
    <row r="1252" spans="1:19" ht="18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</row>
    <row r="1253" spans="1:19" ht="18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</row>
    <row r="1254" spans="1:19" ht="18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</row>
    <row r="1255" spans="1:19" ht="18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</row>
    <row r="1256" spans="1:19" ht="18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</row>
    <row r="1257" spans="1:19" ht="18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</row>
    <row r="1258" spans="1:19" ht="18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</row>
    <row r="1259" spans="1:19" ht="18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</row>
    <row r="1260" spans="1:19" ht="18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</row>
    <row r="1261" spans="1:19" ht="18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</row>
    <row r="1262" spans="1:19" ht="18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</row>
    <row r="1263" spans="1:19" ht="18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</row>
    <row r="1264" spans="1:19" ht="18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</row>
    <row r="1265" spans="1:19" ht="18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</row>
    <row r="1266" spans="1:19" ht="18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</row>
    <row r="1267" spans="1:19" ht="18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</row>
    <row r="1268" spans="1:19" ht="18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</row>
    <row r="1269" spans="1:19" ht="18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</row>
    <row r="1270" spans="1:19" ht="18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</row>
    <row r="1271" spans="1:19" ht="18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</row>
    <row r="1272" spans="1:19" ht="18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</row>
    <row r="1273" spans="1:19" ht="18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</row>
    <row r="1274" spans="1:19" ht="18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</row>
    <row r="1275" spans="1:19" ht="18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</row>
    <row r="1276" spans="1:19" ht="18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</row>
    <row r="1277" spans="1:19" ht="18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</row>
    <row r="1278" spans="1:19" ht="18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</row>
    <row r="1279" spans="1:19" ht="18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</row>
    <row r="1280" spans="1:19" ht="18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</row>
    <row r="1281" spans="1:19" ht="18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</row>
    <row r="1282" spans="1:19" ht="18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</row>
    <row r="1283" spans="1:19" ht="18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</row>
    <row r="1284" spans="1:19" ht="18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</row>
    <row r="1285" spans="1:19" ht="18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</row>
    <row r="1286" spans="1:19" ht="18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</row>
    <row r="1287" spans="1:19" ht="18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</row>
    <row r="1288" spans="1:19" ht="18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</row>
    <row r="1289" spans="1:19" ht="18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</row>
    <row r="1290" spans="1:19" ht="18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</row>
    <row r="1291" spans="1:19" ht="18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</row>
    <row r="1292" spans="1:19" ht="18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</row>
    <row r="1293" spans="1:19" ht="18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</row>
    <row r="1294" spans="1:19" ht="18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</row>
    <row r="1295" spans="1:19" ht="18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</row>
    <row r="1296" spans="1:19" ht="18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</row>
    <row r="1297" spans="1:19" ht="18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</row>
    <row r="1298" spans="1:19" ht="18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</row>
    <row r="1299" spans="1:19" ht="18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</row>
    <row r="1300" spans="1:19" ht="18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</row>
    <row r="1301" spans="1:19" ht="18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</row>
    <row r="1302" spans="1:19" ht="18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</row>
    <row r="1303" spans="1:19" ht="18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</row>
    <row r="1304" spans="1:19" ht="18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</row>
    <row r="1305" spans="1:19" ht="18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</row>
    <row r="1306" spans="1:19" ht="18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</row>
    <row r="1307" spans="1:19" ht="18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</row>
    <row r="1308" spans="1:19" ht="18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</row>
    <row r="1309" spans="1:19" ht="18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</row>
    <row r="1310" spans="1:19" ht="18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</row>
    <row r="1311" spans="1:19" ht="18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</row>
    <row r="1312" spans="1:19" ht="18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</row>
    <row r="1313" spans="1:19" ht="18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</row>
    <row r="1314" spans="1:19" ht="18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</row>
    <row r="1315" spans="1:19" ht="18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</row>
    <row r="1316" spans="1:19" ht="18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</row>
    <row r="1317" spans="1:19" ht="18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</row>
    <row r="1318" spans="1:19" ht="18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</row>
    <row r="1319" spans="1:19" ht="18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</row>
    <row r="1320" spans="1:19" ht="18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</row>
    <row r="1321" spans="1:19" ht="18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</row>
    <row r="1322" spans="1:19" ht="18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</row>
    <row r="1323" spans="1:19" ht="18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</row>
    <row r="1324" spans="1:19" ht="18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</row>
    <row r="1325" spans="1:19" ht="18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</row>
    <row r="1326" spans="1:19" ht="18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</row>
    <row r="1327" spans="1:19" ht="18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</row>
    <row r="1328" spans="1:19" ht="18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</row>
    <row r="1329" spans="1:19" ht="18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</row>
    <row r="1330" spans="1:19" ht="18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</row>
    <row r="1331" spans="1:19" ht="18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</row>
    <row r="1332" spans="1:19" ht="18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</row>
    <row r="1333" spans="1:19" ht="18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</row>
    <row r="1334" spans="1:19" ht="18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</row>
    <row r="1335" spans="1:19" ht="18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</row>
    <row r="1336" spans="1:19" ht="18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</row>
    <row r="1337" spans="1:19" ht="18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</row>
    <row r="1338" spans="1:19" ht="18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</row>
    <row r="1339" spans="1:19" ht="18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</row>
    <row r="1340" spans="1:19" ht="18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</row>
    <row r="1341" spans="1:19" ht="18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</row>
    <row r="1342" spans="1:19" ht="18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</row>
    <row r="1343" spans="1:19" ht="18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</row>
    <row r="1344" spans="1:19" ht="18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</row>
    <row r="1345" spans="1:19" ht="18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</row>
    <row r="1346" spans="1:19" ht="18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</row>
    <row r="1347" spans="1:19" ht="18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</row>
    <row r="1348" spans="1:19" ht="18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</row>
    <row r="1349" spans="1:19" ht="18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</row>
    <row r="1350" spans="1:19" ht="18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</row>
    <row r="1351" spans="1:19" ht="18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</row>
    <row r="1352" spans="1:19" ht="18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</row>
    <row r="1353" spans="1:19" ht="18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</row>
    <row r="1354" spans="1:19" ht="18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</row>
    <row r="1355" spans="1:19" ht="18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</row>
    <row r="1356" spans="1:19" ht="18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</row>
    <row r="1357" spans="1:19" ht="18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</row>
    <row r="1358" spans="1:19" ht="18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</row>
    <row r="1359" spans="1:19" ht="18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</row>
    <row r="1360" spans="1:19" ht="18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</row>
    <row r="1361" spans="1:19" ht="18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</row>
    <row r="1362" spans="1:19" ht="18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</row>
    <row r="1363" spans="1:19" ht="18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</row>
    <row r="1364" spans="1:19" ht="18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</row>
    <row r="1365" spans="1:19" ht="18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</row>
    <row r="1366" spans="1:19" ht="18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</row>
    <row r="1367" spans="1:19" ht="18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</row>
    <row r="1368" spans="1:19" ht="18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</row>
    <row r="1369" spans="1:19" ht="18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</row>
    <row r="1370" spans="1:19" ht="18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</row>
    <row r="1371" spans="1:19" ht="18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</row>
    <row r="1372" spans="1:19" ht="18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</row>
    <row r="1373" spans="1:19" ht="18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</row>
    <row r="1374" spans="1:19" ht="18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</row>
    <row r="1375" spans="1:19" ht="18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</row>
    <row r="1376" spans="1:19" ht="18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</row>
    <row r="1377" spans="1:19" ht="18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</row>
    <row r="1378" spans="1:19" ht="18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</row>
    <row r="1379" spans="1:19" ht="18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</row>
    <row r="1380" spans="1:19" ht="18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</row>
    <row r="1381" spans="1:19" ht="18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</row>
    <row r="1382" spans="1:19" ht="18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</row>
    <row r="1383" spans="1:19" ht="18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</row>
    <row r="1384" spans="1:19" ht="18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</row>
    <row r="1385" spans="1:19" ht="18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</row>
    <row r="1386" spans="1:19" ht="18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</row>
    <row r="1387" spans="1:19" ht="18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</row>
    <row r="1388" spans="1:19" ht="18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</row>
    <row r="1389" spans="1:19" ht="18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</row>
    <row r="1390" spans="1:19" ht="18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</row>
    <row r="1391" spans="1:19" ht="18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</row>
    <row r="1392" spans="1:19" ht="18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</row>
    <row r="1393" spans="1:19" ht="18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</row>
    <row r="1394" spans="1:19" ht="18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</row>
    <row r="1395" spans="1:19" ht="18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</row>
    <row r="1396" spans="1:19" ht="18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</row>
    <row r="1397" spans="1:19" ht="18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</row>
    <row r="1398" spans="1:19" ht="18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</row>
    <row r="1399" spans="1:19" ht="18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</row>
    <row r="1400" spans="1:19" ht="18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</row>
    <row r="1401" spans="1:19" ht="18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</row>
    <row r="1402" spans="1:19" ht="18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</row>
    <row r="1403" spans="1:19" ht="18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</row>
    <row r="1404" spans="1:19" ht="18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</row>
    <row r="1405" spans="1:19" ht="18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</row>
    <row r="1406" spans="1:19" ht="18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</row>
    <row r="1407" spans="1:19" ht="18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</row>
    <row r="1408" spans="1:19" ht="18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</row>
    <row r="1409" spans="1:19" ht="18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</row>
    <row r="1410" spans="1:19" ht="18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</row>
    <row r="1411" spans="1:19" ht="18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</row>
    <row r="1412" spans="1:19" ht="18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</row>
    <row r="1413" spans="1:19" ht="18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</row>
    <row r="1414" spans="1:19" ht="18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</row>
    <row r="1415" spans="1:19" ht="18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</row>
    <row r="1416" spans="1:19" ht="18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</row>
    <row r="1417" spans="1:19" ht="18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</row>
    <row r="1418" spans="1:19" ht="18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</row>
    <row r="1419" spans="1:19" ht="18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</row>
    <row r="1420" spans="1:19" ht="18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</row>
    <row r="1421" spans="1:19" ht="18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</row>
    <row r="1422" spans="1:19" ht="18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</row>
    <row r="1423" spans="1:19" ht="18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</row>
    <row r="1424" spans="1:19" ht="18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</row>
    <row r="1425" spans="1:19" ht="18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</row>
    <row r="1426" spans="1:19" ht="18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</row>
    <row r="1427" spans="1:19" ht="18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</row>
    <row r="1428" spans="1:19" ht="18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</row>
    <row r="1429" spans="1:19" ht="18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</row>
    <row r="1430" spans="1:19" ht="18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</row>
    <row r="1431" spans="1:19" ht="18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</row>
    <row r="1432" spans="1:19" ht="18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</row>
    <row r="1433" spans="1:19" ht="18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</row>
    <row r="1434" spans="1:19" ht="18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</row>
    <row r="1435" spans="1:19" ht="18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</row>
    <row r="1436" spans="1:19" ht="18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</row>
    <row r="1437" spans="1:19" ht="18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</row>
    <row r="1438" spans="1:19" ht="18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</row>
    <row r="1439" spans="1:19" ht="18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</row>
    <row r="1440" spans="1:19" ht="18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</row>
    <row r="1441" spans="1:19" ht="18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</row>
    <row r="1442" spans="1:19" ht="18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</row>
    <row r="1443" spans="1:19" ht="18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</row>
    <row r="1444" spans="1:19" ht="18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</row>
    <row r="1445" spans="1:19" ht="18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</row>
    <row r="1446" spans="1:19" ht="18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</row>
    <row r="1447" spans="1:19" ht="18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</row>
    <row r="1448" spans="1:19" ht="18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</row>
    <row r="1449" spans="1:19" ht="18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</row>
    <row r="1450" spans="1:19" ht="18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</row>
    <row r="1451" spans="1:19" ht="18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</row>
    <row r="1452" spans="1:19" ht="18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</row>
    <row r="1453" spans="1:19" ht="18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</row>
    <row r="1454" spans="1:19" ht="18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</row>
    <row r="1455" spans="1:19" ht="18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</row>
    <row r="1456" spans="1:19" ht="18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</row>
    <row r="1457" spans="1:19" ht="18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</row>
    <row r="1458" spans="1:19" ht="18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</row>
    <row r="1459" spans="1:19" ht="18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</row>
    <row r="1460" spans="1:19" ht="18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</row>
    <row r="1461" spans="1:19" ht="18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</row>
    <row r="1462" spans="1:19" ht="18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</row>
    <row r="1463" spans="1:19" ht="18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</row>
    <row r="1464" spans="1:19" ht="18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</row>
    <row r="1465" spans="1:19" ht="18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</row>
    <row r="1466" spans="1:19" ht="18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</row>
    <row r="1467" spans="1:19" ht="18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</row>
    <row r="1468" spans="1:19" ht="18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</row>
    <row r="1469" spans="1:19" ht="18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</row>
    <row r="1470" spans="1:19" ht="18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</row>
    <row r="1471" spans="1:19" ht="18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</row>
    <row r="1472" spans="1:19" ht="18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</row>
    <row r="1473" spans="1:19" ht="18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</row>
    <row r="1474" spans="1:19" ht="18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</row>
    <row r="1475" spans="1:19" ht="18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</row>
    <row r="1476" spans="1:19" ht="18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</row>
    <row r="1477" spans="1:19" ht="18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</row>
    <row r="1478" spans="1:19" ht="18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</row>
    <row r="1479" spans="1:19" ht="18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</row>
    <row r="1480" spans="1:19" ht="18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</row>
    <row r="1481" spans="1:19" ht="18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</row>
    <row r="1482" spans="1:19" ht="18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</row>
    <row r="1483" spans="1:19" ht="18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</row>
    <row r="1484" spans="1:19" ht="18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</row>
    <row r="1485" spans="1:19" ht="18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</row>
    <row r="1486" spans="1:19" ht="18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</row>
    <row r="1487" spans="1:19" ht="18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</row>
    <row r="1488" spans="1:19" ht="18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</row>
    <row r="1489" spans="1:19" ht="18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</row>
    <row r="1490" spans="1:19" ht="18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</row>
    <row r="1491" spans="1:19" ht="18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</row>
    <row r="1492" spans="1:19" ht="18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</row>
    <row r="1493" spans="1:19" ht="18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</row>
    <row r="1494" spans="1:19" ht="18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</row>
    <row r="1495" spans="1:19" ht="18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</row>
    <row r="1496" spans="1:19" ht="18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</row>
    <row r="1497" spans="1:19" ht="18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</row>
    <row r="1498" spans="1:19" ht="18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</row>
    <row r="1499" spans="1:19" ht="18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</row>
    <row r="1500" spans="1:19" ht="18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</row>
    <row r="1501" spans="1:19" ht="18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</row>
    <row r="1502" spans="1:19" ht="18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</row>
    <row r="1503" spans="1:19" ht="18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</row>
    <row r="1504" spans="1:19" ht="18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</row>
    <row r="1505" spans="1:19" ht="18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</row>
    <row r="1506" spans="1:19" ht="18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</row>
    <row r="1507" spans="1:19" ht="18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</row>
    <row r="1508" spans="1:19" ht="18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</row>
    <row r="1509" spans="1:19" ht="18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</row>
    <row r="1510" spans="1:19" ht="18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</row>
    <row r="1511" spans="1:19" ht="18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</row>
    <row r="1512" spans="1:19" ht="18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</row>
    <row r="1513" spans="1:19" ht="18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</row>
    <row r="1514" spans="1:19" ht="18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</row>
    <row r="1515" spans="1:19" ht="18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</row>
    <row r="1516" spans="1:19" ht="18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</row>
    <row r="1517" spans="1:19" ht="18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</row>
    <row r="1518" spans="1:19" ht="18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</row>
    <row r="1519" spans="1:19" ht="18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</row>
    <row r="1520" spans="1:19" ht="18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</row>
    <row r="1521" spans="1:19" ht="18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</row>
    <row r="1522" spans="1:19" ht="18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</row>
    <row r="1523" spans="1:19" ht="18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</row>
    <row r="1524" spans="1:19" ht="18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</row>
    <row r="1525" spans="1:19" ht="18" x14ac:dyDescent="0.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</row>
    <row r="1526" spans="1:19" ht="18" x14ac:dyDescent="0.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</row>
    <row r="1527" spans="1:19" ht="18" x14ac:dyDescent="0.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</row>
    <row r="1528" spans="1:19" ht="18" x14ac:dyDescent="0.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</row>
    <row r="1529" spans="1:19" ht="18" x14ac:dyDescent="0.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</row>
    <row r="1530" spans="1:19" ht="18" x14ac:dyDescent="0.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</row>
    <row r="1531" spans="1:19" ht="18" x14ac:dyDescent="0.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</row>
    <row r="1532" spans="1:19" ht="18" x14ac:dyDescent="0.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</row>
    <row r="1533" spans="1:19" ht="18" x14ac:dyDescent="0.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</row>
    <row r="1534" spans="1:19" ht="18" x14ac:dyDescent="0.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</row>
    <row r="1535" spans="1:19" ht="18" x14ac:dyDescent="0.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</row>
    <row r="1536" spans="1:19" ht="18" x14ac:dyDescent="0.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</row>
    <row r="1537" spans="1:19" ht="18" x14ac:dyDescent="0.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</row>
    <row r="1538" spans="1:19" ht="18" x14ac:dyDescent="0.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</row>
    <row r="1539" spans="1:19" ht="18" x14ac:dyDescent="0.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</row>
    <row r="1540" spans="1:19" ht="18" x14ac:dyDescent="0.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</row>
    <row r="1541" spans="1:19" ht="18" x14ac:dyDescent="0.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</row>
    <row r="1542" spans="1:19" ht="18" x14ac:dyDescent="0.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</row>
    <row r="1543" spans="1:19" ht="18" x14ac:dyDescent="0.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</row>
    <row r="1544" spans="1:19" ht="18" x14ac:dyDescent="0.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</row>
    <row r="1545" spans="1:19" ht="18" x14ac:dyDescent="0.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</row>
    <row r="1546" spans="1:19" ht="18" x14ac:dyDescent="0.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</row>
    <row r="1547" spans="1:19" ht="18" x14ac:dyDescent="0.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</row>
    <row r="1548" spans="1:19" ht="18" x14ac:dyDescent="0.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</row>
    <row r="1549" spans="1:19" ht="18" x14ac:dyDescent="0.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</row>
    <row r="1550" spans="1:19" ht="18" x14ac:dyDescent="0.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</row>
    <row r="1551" spans="1:19" ht="18" x14ac:dyDescent="0.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</row>
    <row r="1552" spans="1:19" ht="18" x14ac:dyDescent="0.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</row>
    <row r="1553" spans="1:19" ht="18" x14ac:dyDescent="0.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</row>
    <row r="1554" spans="1:19" ht="18" x14ac:dyDescent="0.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</row>
    <row r="1555" spans="1:19" ht="18" x14ac:dyDescent="0.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</row>
    <row r="1556" spans="1:19" ht="18" x14ac:dyDescent="0.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</row>
    <row r="1557" spans="1:19" ht="18" x14ac:dyDescent="0.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</row>
    <row r="1558" spans="1:19" ht="18" x14ac:dyDescent="0.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</row>
    <row r="1559" spans="1:19" ht="18" x14ac:dyDescent="0.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</row>
    <row r="1560" spans="1:19" ht="18" x14ac:dyDescent="0.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</row>
    <row r="1561" spans="1:19" ht="18" x14ac:dyDescent="0.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</row>
    <row r="1562" spans="1:19" ht="18" x14ac:dyDescent="0.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</row>
    <row r="1563" spans="1:19" ht="18" x14ac:dyDescent="0.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</row>
    <row r="1564" spans="1:19" ht="18" x14ac:dyDescent="0.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</row>
    <row r="1565" spans="1:19" ht="18" x14ac:dyDescent="0.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</row>
    <row r="1566" spans="1:19" ht="18" x14ac:dyDescent="0.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</row>
    <row r="1567" spans="1:19" ht="18" x14ac:dyDescent="0.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</row>
    <row r="1568" spans="1:19" ht="18" x14ac:dyDescent="0.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</row>
    <row r="1569" spans="1:19" ht="18" x14ac:dyDescent="0.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</row>
    <row r="1570" spans="1:19" ht="18" x14ac:dyDescent="0.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</row>
    <row r="1571" spans="1:19" ht="18" x14ac:dyDescent="0.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</row>
    <row r="1572" spans="1:19" ht="18" x14ac:dyDescent="0.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</row>
    <row r="1573" spans="1:19" ht="18" x14ac:dyDescent="0.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</row>
    <row r="1574" spans="1:19" ht="18" x14ac:dyDescent="0.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</row>
    <row r="1575" spans="1:19" ht="18" x14ac:dyDescent="0.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</row>
    <row r="1576" spans="1:19" ht="18" x14ac:dyDescent="0.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</row>
    <row r="1577" spans="1:19" ht="18" x14ac:dyDescent="0.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</row>
    <row r="1578" spans="1:19" ht="18" x14ac:dyDescent="0.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</row>
    <row r="1579" spans="1:19" ht="18" x14ac:dyDescent="0.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</row>
    <row r="1580" spans="1:19" ht="18" x14ac:dyDescent="0.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</row>
    <row r="1581" spans="1:19" ht="18" x14ac:dyDescent="0.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</row>
    <row r="1582" spans="1:19" ht="18" x14ac:dyDescent="0.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</row>
    <row r="1583" spans="1:19" ht="18" x14ac:dyDescent="0.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</row>
    <row r="1584" spans="1:19" ht="18" x14ac:dyDescent="0.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</row>
    <row r="1585" spans="1:19" ht="18" x14ac:dyDescent="0.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</row>
    <row r="1586" spans="1:19" ht="18" x14ac:dyDescent="0.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</row>
    <row r="1587" spans="1:19" ht="18" x14ac:dyDescent="0.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</row>
    <row r="1588" spans="1:19" ht="18" x14ac:dyDescent="0.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</row>
    <row r="1589" spans="1:19" ht="18" x14ac:dyDescent="0.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</row>
    <row r="1590" spans="1:19" ht="18" x14ac:dyDescent="0.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</row>
    <row r="1591" spans="1:19" ht="18" x14ac:dyDescent="0.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</row>
    <row r="1592" spans="1:19" ht="18" x14ac:dyDescent="0.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</row>
    <row r="1593" spans="1:19" ht="18" x14ac:dyDescent="0.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</row>
    <row r="1594" spans="1:19" ht="18" x14ac:dyDescent="0.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</row>
    <row r="1595" spans="1:19" ht="18" x14ac:dyDescent="0.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</row>
    <row r="1596" spans="1:19" ht="18" x14ac:dyDescent="0.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</row>
    <row r="1597" spans="1:19" ht="18" x14ac:dyDescent="0.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</row>
    <row r="1598" spans="1:19" ht="18" x14ac:dyDescent="0.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</row>
    <row r="1599" spans="1:19" ht="18" x14ac:dyDescent="0.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</row>
    <row r="1600" spans="1:19" ht="18" x14ac:dyDescent="0.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</row>
    <row r="1601" spans="1:19" ht="18" x14ac:dyDescent="0.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</row>
    <row r="1602" spans="1:19" ht="18" x14ac:dyDescent="0.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</row>
    <row r="1603" spans="1:19" ht="18" x14ac:dyDescent="0.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</row>
    <row r="1604" spans="1:19" ht="18" x14ac:dyDescent="0.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</row>
    <row r="1605" spans="1:19" ht="18" x14ac:dyDescent="0.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</row>
    <row r="1606" spans="1:19" ht="18" x14ac:dyDescent="0.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</row>
    <row r="1607" spans="1:19" ht="18" x14ac:dyDescent="0.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</row>
    <row r="1608" spans="1:19" ht="18" x14ac:dyDescent="0.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</row>
    <row r="1609" spans="1:19" ht="18" x14ac:dyDescent="0.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</row>
    <row r="1610" spans="1:19" ht="18" x14ac:dyDescent="0.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</row>
    <row r="1611" spans="1:19" ht="18" x14ac:dyDescent="0.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</row>
    <row r="1612" spans="1:19" ht="18" x14ac:dyDescent="0.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</row>
    <row r="1613" spans="1:19" ht="18" x14ac:dyDescent="0.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</row>
    <row r="1614" spans="1:19" ht="18" x14ac:dyDescent="0.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</row>
    <row r="1615" spans="1:19" ht="18" x14ac:dyDescent="0.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</row>
    <row r="1616" spans="1:19" ht="18" x14ac:dyDescent="0.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</row>
    <row r="1617" spans="1:19" ht="18" x14ac:dyDescent="0.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</row>
    <row r="1618" spans="1:19" ht="18" x14ac:dyDescent="0.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</row>
    <row r="1619" spans="1:19" ht="18" x14ac:dyDescent="0.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</row>
    <row r="1620" spans="1:19" ht="18" x14ac:dyDescent="0.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</row>
    <row r="1621" spans="1:19" ht="18" x14ac:dyDescent="0.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</row>
    <row r="1622" spans="1:19" ht="18" x14ac:dyDescent="0.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</row>
    <row r="1623" spans="1:19" ht="18" x14ac:dyDescent="0.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</row>
    <row r="1624" spans="1:19" ht="18" x14ac:dyDescent="0.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</row>
    <row r="1625" spans="1:19" ht="18" x14ac:dyDescent="0.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</row>
    <row r="1626" spans="1:19" ht="18" x14ac:dyDescent="0.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</row>
    <row r="1627" spans="1:19" ht="18" x14ac:dyDescent="0.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</row>
    <row r="1628" spans="1:19" ht="18" x14ac:dyDescent="0.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</row>
    <row r="1629" spans="1:19" ht="18" x14ac:dyDescent="0.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</row>
    <row r="1630" spans="1:19" ht="18" x14ac:dyDescent="0.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</row>
    <row r="1631" spans="1:19" ht="18" x14ac:dyDescent="0.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</row>
    <row r="1632" spans="1:19" ht="18" x14ac:dyDescent="0.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</row>
    <row r="1633" spans="1:19" ht="18" x14ac:dyDescent="0.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</row>
    <row r="1634" spans="1:19" ht="18" x14ac:dyDescent="0.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</row>
    <row r="1635" spans="1:19" ht="18" x14ac:dyDescent="0.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</row>
    <row r="1636" spans="1:19" ht="18" x14ac:dyDescent="0.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</row>
    <row r="1637" spans="1:19" ht="18" x14ac:dyDescent="0.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</row>
    <row r="1638" spans="1:19" ht="18" x14ac:dyDescent="0.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</row>
    <row r="1639" spans="1:19" ht="18" x14ac:dyDescent="0.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</row>
    <row r="1640" spans="1:19" ht="18" x14ac:dyDescent="0.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</row>
    <row r="1641" spans="1:19" ht="18" x14ac:dyDescent="0.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</row>
    <row r="1642" spans="1:19" ht="18" x14ac:dyDescent="0.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</row>
    <row r="1643" spans="1:19" ht="18" x14ac:dyDescent="0.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</row>
    <row r="1644" spans="1:19" ht="18" x14ac:dyDescent="0.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</row>
    <row r="1645" spans="1:19" ht="18" x14ac:dyDescent="0.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</row>
    <row r="1646" spans="1:19" ht="18" x14ac:dyDescent="0.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</row>
    <row r="1647" spans="1:19" ht="18" x14ac:dyDescent="0.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</row>
    <row r="1648" spans="1:19" ht="18" x14ac:dyDescent="0.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</row>
    <row r="1649" spans="1:19" ht="18" x14ac:dyDescent="0.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</row>
    <row r="1650" spans="1:19" ht="18" x14ac:dyDescent="0.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</row>
    <row r="1651" spans="1:19" ht="18" x14ac:dyDescent="0.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</row>
    <row r="1652" spans="1:19" ht="18" x14ac:dyDescent="0.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</row>
    <row r="1653" spans="1:19" ht="18" x14ac:dyDescent="0.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</row>
    <row r="1654" spans="1:19" ht="18" x14ac:dyDescent="0.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</row>
    <row r="1655" spans="1:19" ht="18" x14ac:dyDescent="0.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</row>
    <row r="1656" spans="1:19" ht="18" x14ac:dyDescent="0.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</row>
    <row r="1657" spans="1:19" ht="18" x14ac:dyDescent="0.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</row>
    <row r="1658" spans="1:19" ht="18" x14ac:dyDescent="0.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</row>
    <row r="1659" spans="1:19" ht="18" x14ac:dyDescent="0.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</row>
    <row r="1660" spans="1:19" ht="18" x14ac:dyDescent="0.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</row>
    <row r="1661" spans="1:19" ht="18" x14ac:dyDescent="0.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</row>
    <row r="1662" spans="1:19" ht="18" x14ac:dyDescent="0.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</row>
    <row r="1663" spans="1:19" ht="18" x14ac:dyDescent="0.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</row>
    <row r="1664" spans="1:19" ht="18" x14ac:dyDescent="0.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</row>
    <row r="1665" spans="1:19" ht="18" x14ac:dyDescent="0.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</row>
    <row r="1666" spans="1:19" ht="18" x14ac:dyDescent="0.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</row>
    <row r="1667" spans="1:19" ht="18" x14ac:dyDescent="0.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</row>
    <row r="1668" spans="1:19" ht="18" x14ac:dyDescent="0.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</row>
    <row r="1669" spans="1:19" ht="18" x14ac:dyDescent="0.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</row>
    <row r="1670" spans="1:19" ht="18" x14ac:dyDescent="0.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</row>
    <row r="1671" spans="1:19" ht="18" x14ac:dyDescent="0.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</row>
    <row r="1672" spans="1:19" ht="18" x14ac:dyDescent="0.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</row>
    <row r="1673" spans="1:19" ht="18" x14ac:dyDescent="0.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</row>
    <row r="1674" spans="1:19" ht="18" x14ac:dyDescent="0.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</row>
    <row r="1675" spans="1:19" ht="18" x14ac:dyDescent="0.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</row>
    <row r="1676" spans="1:19" ht="18" x14ac:dyDescent="0.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</row>
    <row r="1677" spans="1:19" ht="18" x14ac:dyDescent="0.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</row>
    <row r="1678" spans="1:19" ht="18" x14ac:dyDescent="0.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</row>
    <row r="1679" spans="1:19" ht="18" x14ac:dyDescent="0.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</row>
    <row r="1680" spans="1:19" ht="18" x14ac:dyDescent="0.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</row>
    <row r="1681" spans="1:19" ht="18" x14ac:dyDescent="0.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</row>
    <row r="1682" spans="1:19" ht="18" x14ac:dyDescent="0.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</row>
    <row r="1683" spans="1:19" ht="18" x14ac:dyDescent="0.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</row>
    <row r="1684" spans="1:19" ht="18" x14ac:dyDescent="0.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</row>
    <row r="1685" spans="1:19" ht="18" x14ac:dyDescent="0.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</row>
    <row r="1686" spans="1:19" ht="18" x14ac:dyDescent="0.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</row>
    <row r="1687" spans="1:19" ht="18" x14ac:dyDescent="0.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</row>
    <row r="1688" spans="1:19" ht="18" x14ac:dyDescent="0.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</row>
    <row r="1689" spans="1:19" ht="18" x14ac:dyDescent="0.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</row>
    <row r="1690" spans="1:19" ht="18" x14ac:dyDescent="0.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</row>
    <row r="1691" spans="1:19" ht="18" x14ac:dyDescent="0.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</row>
    <row r="1692" spans="1:19" ht="18" x14ac:dyDescent="0.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</row>
    <row r="1693" spans="1:19" ht="18" x14ac:dyDescent="0.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</row>
    <row r="1694" spans="1:19" ht="18" x14ac:dyDescent="0.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</row>
    <row r="1695" spans="1:19" ht="18" x14ac:dyDescent="0.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</row>
    <row r="1696" spans="1:19" ht="18" x14ac:dyDescent="0.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</row>
    <row r="1697" spans="1:19" ht="18" x14ac:dyDescent="0.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</row>
    <row r="1698" spans="1:19" ht="18" x14ac:dyDescent="0.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</row>
    <row r="1699" spans="1:19" ht="18" x14ac:dyDescent="0.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</row>
    <row r="1700" spans="1:19" ht="18" x14ac:dyDescent="0.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</row>
    <row r="1701" spans="1:19" ht="18" x14ac:dyDescent="0.4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</row>
    <row r="1702" spans="1:19" ht="18" x14ac:dyDescent="0.4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</row>
    <row r="1703" spans="1:19" ht="18" x14ac:dyDescent="0.4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</row>
    <row r="1704" spans="1:19" ht="18" x14ac:dyDescent="0.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</row>
    <row r="1705" spans="1:19" ht="18" x14ac:dyDescent="0.4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</row>
    <row r="1706" spans="1:19" ht="18" x14ac:dyDescent="0.4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</row>
    <row r="1707" spans="1:19" ht="18" x14ac:dyDescent="0.4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</row>
    <row r="1708" spans="1:19" ht="18" x14ac:dyDescent="0.4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</row>
    <row r="1709" spans="1:19" ht="18" x14ac:dyDescent="0.4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</row>
    <row r="1710" spans="1:19" ht="18" x14ac:dyDescent="0.4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</row>
    <row r="1711" spans="1:19" ht="18" x14ac:dyDescent="0.4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</row>
    <row r="1712" spans="1:19" ht="18" x14ac:dyDescent="0.4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</row>
    <row r="1713" spans="1:19" ht="18" x14ac:dyDescent="0.4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</row>
    <row r="1714" spans="1:19" ht="18" x14ac:dyDescent="0.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</row>
    <row r="1715" spans="1:19" ht="18" x14ac:dyDescent="0.4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</row>
    <row r="1716" spans="1:19" ht="18" x14ac:dyDescent="0.4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</row>
    <row r="1717" spans="1:19" ht="18" x14ac:dyDescent="0.4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</row>
    <row r="1718" spans="1:19" ht="18" x14ac:dyDescent="0.4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</row>
    <row r="1719" spans="1:19" ht="18" x14ac:dyDescent="0.4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</row>
    <row r="1720" spans="1:19" ht="18" x14ac:dyDescent="0.4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</row>
    <row r="1721" spans="1:19" ht="18" x14ac:dyDescent="0.4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</row>
    <row r="1722" spans="1:19" ht="18" x14ac:dyDescent="0.4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</row>
    <row r="1723" spans="1:19" ht="18" x14ac:dyDescent="0.4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</row>
    <row r="1724" spans="1:19" ht="18" x14ac:dyDescent="0.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</row>
    <row r="1725" spans="1:19" ht="18" x14ac:dyDescent="0.4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</row>
    <row r="1726" spans="1:19" ht="18" x14ac:dyDescent="0.4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</row>
    <row r="1727" spans="1:19" ht="18" x14ac:dyDescent="0.4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</row>
    <row r="1728" spans="1:19" ht="18" x14ac:dyDescent="0.4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</row>
    <row r="1729" spans="1:19" ht="18" x14ac:dyDescent="0.4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</row>
    <row r="1730" spans="1:19" ht="18" x14ac:dyDescent="0.4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</row>
    <row r="1731" spans="1:19" ht="18" x14ac:dyDescent="0.4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</row>
    <row r="1732" spans="1:19" ht="18" x14ac:dyDescent="0.4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</row>
    <row r="1733" spans="1:19" ht="18" x14ac:dyDescent="0.4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</row>
    <row r="1734" spans="1:19" ht="18" x14ac:dyDescent="0.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</row>
    <row r="1735" spans="1:19" ht="18" x14ac:dyDescent="0.4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</row>
    <row r="1736" spans="1:19" ht="18" x14ac:dyDescent="0.4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</row>
    <row r="1737" spans="1:19" ht="18" x14ac:dyDescent="0.4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</row>
    <row r="1738" spans="1:19" ht="18" x14ac:dyDescent="0.4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</row>
    <row r="1739" spans="1:19" ht="18" x14ac:dyDescent="0.4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</row>
    <row r="1740" spans="1:19" ht="18" x14ac:dyDescent="0.4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</row>
    <row r="1741" spans="1:19" ht="18" x14ac:dyDescent="0.4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</row>
    <row r="1742" spans="1:19" ht="18" x14ac:dyDescent="0.4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</row>
    <row r="1743" spans="1:19" ht="18" x14ac:dyDescent="0.4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</row>
    <row r="1744" spans="1:19" ht="18" x14ac:dyDescent="0.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</row>
    <row r="1745" spans="1:19" ht="18" x14ac:dyDescent="0.4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</row>
    <row r="1746" spans="1:19" ht="18" x14ac:dyDescent="0.4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</row>
    <row r="1747" spans="1:19" ht="18" x14ac:dyDescent="0.4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</row>
    <row r="1748" spans="1:19" ht="18" x14ac:dyDescent="0.4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</row>
    <row r="1749" spans="1:19" ht="18" x14ac:dyDescent="0.4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</row>
    <row r="1750" spans="1:19" ht="18" x14ac:dyDescent="0.4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</row>
    <row r="1751" spans="1:19" ht="18" x14ac:dyDescent="0.4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</row>
    <row r="1752" spans="1:19" ht="18" x14ac:dyDescent="0.4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</row>
    <row r="1753" spans="1:19" ht="18" x14ac:dyDescent="0.4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</row>
    <row r="1754" spans="1:19" ht="18" x14ac:dyDescent="0.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</row>
    <row r="1755" spans="1:19" ht="18" x14ac:dyDescent="0.4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</row>
    <row r="1756" spans="1:19" ht="18" x14ac:dyDescent="0.4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</row>
    <row r="1757" spans="1:19" ht="18" x14ac:dyDescent="0.4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</row>
    <row r="1758" spans="1:19" ht="18" x14ac:dyDescent="0.4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</row>
    <row r="1759" spans="1:19" ht="18" x14ac:dyDescent="0.4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</row>
    <row r="1760" spans="1:19" ht="18" x14ac:dyDescent="0.4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</row>
    <row r="1761" spans="1:19" ht="18" x14ac:dyDescent="0.4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</row>
    <row r="1762" spans="1:19" ht="18" x14ac:dyDescent="0.4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</row>
    <row r="1763" spans="1:19" ht="18" x14ac:dyDescent="0.4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</row>
    <row r="1764" spans="1:19" ht="18" x14ac:dyDescent="0.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</row>
    <row r="1765" spans="1:19" ht="18" x14ac:dyDescent="0.4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</row>
    <row r="1766" spans="1:19" ht="18" x14ac:dyDescent="0.4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</row>
    <row r="1767" spans="1:19" ht="18" x14ac:dyDescent="0.4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</row>
  </sheetData>
  <mergeCells count="39">
    <mergeCell ref="A152:H152"/>
    <mergeCell ref="A158:H158"/>
    <mergeCell ref="A159:H159"/>
    <mergeCell ref="A131:H131"/>
    <mergeCell ref="A137:H137"/>
    <mergeCell ref="A138:H138"/>
    <mergeCell ref="A144:H144"/>
    <mergeCell ref="A145:H145"/>
    <mergeCell ref="A151:H151"/>
    <mergeCell ref="A110:H110"/>
    <mergeCell ref="A116:H116"/>
    <mergeCell ref="A117:H117"/>
    <mergeCell ref="A123:H123"/>
    <mergeCell ref="A124:H124"/>
    <mergeCell ref="A130:H130"/>
    <mergeCell ref="A89:H89"/>
    <mergeCell ref="A95:H95"/>
    <mergeCell ref="A96:H96"/>
    <mergeCell ref="A102:H102"/>
    <mergeCell ref="A103:H103"/>
    <mergeCell ref="A109:H109"/>
    <mergeCell ref="A66:H66"/>
    <mergeCell ref="A72:H72"/>
    <mergeCell ref="A73:H73"/>
    <mergeCell ref="A79:H79"/>
    <mergeCell ref="A80:H80"/>
    <mergeCell ref="A88:H88"/>
    <mergeCell ref="A43:H43"/>
    <mergeCell ref="A49:H49"/>
    <mergeCell ref="A50:H50"/>
    <mergeCell ref="A58:H58"/>
    <mergeCell ref="A59:H59"/>
    <mergeCell ref="A65:H65"/>
    <mergeCell ref="A1:H1"/>
    <mergeCell ref="A2:H2"/>
    <mergeCell ref="A3:H3"/>
    <mergeCell ref="A35:H35"/>
    <mergeCell ref="A36:H36"/>
    <mergeCell ref="A42:H4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904C-D8A1-467D-99A2-EFBE73ABE180}">
  <dimension ref="A1:FV676"/>
  <sheetViews>
    <sheetView workbookViewId="0">
      <selection activeCell="F22" sqref="F22"/>
    </sheetView>
  </sheetViews>
  <sheetFormatPr defaultRowHeight="14.5" x14ac:dyDescent="0.35"/>
  <cols>
    <col min="2" max="2" width="31.08984375" customWidth="1"/>
    <col min="3" max="3" width="17.36328125" customWidth="1"/>
    <col min="4" max="4" width="17.6328125" customWidth="1"/>
  </cols>
  <sheetData>
    <row r="1" spans="1:178" ht="18" x14ac:dyDescent="0.4">
      <c r="A1" s="2" t="s">
        <v>151</v>
      </c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</row>
    <row r="2" spans="1:178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</row>
    <row r="3" spans="1:178" ht="18.5" thickBot="1" x14ac:dyDescent="0.45">
      <c r="A3" s="33" t="s">
        <v>152</v>
      </c>
      <c r="B3" s="37" t="s">
        <v>31</v>
      </c>
      <c r="C3" s="31" t="s">
        <v>33</v>
      </c>
      <c r="D3" s="31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</row>
    <row r="4" spans="1:178" ht="18" x14ac:dyDescent="0.4">
      <c r="A4" s="34">
        <v>1</v>
      </c>
      <c r="B4" s="41" t="s">
        <v>71</v>
      </c>
      <c r="C4" s="44">
        <v>13890</v>
      </c>
      <c r="D4" s="38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 spans="1:178" ht="18" x14ac:dyDescent="0.4">
      <c r="A5" s="35">
        <v>2</v>
      </c>
      <c r="B5" s="42" t="s">
        <v>36</v>
      </c>
      <c r="C5" s="42">
        <v>300</v>
      </c>
      <c r="D5" s="39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</row>
    <row r="6" spans="1:178" ht="18" x14ac:dyDescent="0.4">
      <c r="A6" s="35">
        <v>3</v>
      </c>
      <c r="B6" s="42" t="s">
        <v>41</v>
      </c>
      <c r="C6" s="42">
        <v>450</v>
      </c>
      <c r="D6" s="39" t="s">
        <v>159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</row>
    <row r="7" spans="1:178" ht="18" x14ac:dyDescent="0.4">
      <c r="A7" s="35">
        <v>4</v>
      </c>
      <c r="B7" s="42" t="s">
        <v>44</v>
      </c>
      <c r="C7" s="42">
        <v>200</v>
      </c>
      <c r="D7" s="39" t="s">
        <v>159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</row>
    <row r="8" spans="1:178" ht="18" x14ac:dyDescent="0.4">
      <c r="A8" s="35">
        <v>5</v>
      </c>
      <c r="B8" s="42" t="s">
        <v>47</v>
      </c>
      <c r="C8" s="42">
        <v>330</v>
      </c>
      <c r="D8" s="39" t="s">
        <v>159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</row>
    <row r="9" spans="1:178" ht="18" x14ac:dyDescent="0.4">
      <c r="A9" s="35">
        <v>6</v>
      </c>
      <c r="B9" s="42" t="s">
        <v>50</v>
      </c>
      <c r="C9" s="42">
        <v>550</v>
      </c>
      <c r="D9" s="39" t="s">
        <v>159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1:178" ht="18" x14ac:dyDescent="0.4">
      <c r="A10" s="35">
        <v>7</v>
      </c>
      <c r="B10" s="43" t="s">
        <v>53</v>
      </c>
      <c r="C10" s="42">
        <v>850</v>
      </c>
      <c r="D10" s="39" t="s">
        <v>159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</row>
    <row r="11" spans="1:178" ht="18" x14ac:dyDescent="0.4">
      <c r="A11" s="35">
        <v>8</v>
      </c>
      <c r="B11" s="42" t="s">
        <v>56</v>
      </c>
      <c r="C11" s="43">
        <v>1800</v>
      </c>
      <c r="D11" s="39" t="s">
        <v>159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</row>
    <row r="12" spans="1:178" ht="18" x14ac:dyDescent="0.4">
      <c r="A12" s="35">
        <v>9</v>
      </c>
      <c r="B12" s="42" t="s">
        <v>62</v>
      </c>
      <c r="C12" s="42">
        <v>600</v>
      </c>
      <c r="D12" s="39" t="s">
        <v>159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  <row r="13" spans="1:178" ht="18" x14ac:dyDescent="0.4">
      <c r="A13" s="35">
        <v>10</v>
      </c>
      <c r="B13" s="42" t="s">
        <v>65</v>
      </c>
      <c r="C13" s="42">
        <v>200</v>
      </c>
      <c r="D13" s="39" t="s">
        <v>159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 spans="1:178" ht="18" x14ac:dyDescent="0.4">
      <c r="A14" s="35">
        <v>11</v>
      </c>
      <c r="B14" s="42" t="s">
        <v>68</v>
      </c>
      <c r="C14" s="43">
        <v>2000</v>
      </c>
      <c r="D14" s="39" t="s">
        <v>159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</row>
    <row r="15" spans="1:178" ht="18" x14ac:dyDescent="0.4">
      <c r="A15" s="35">
        <v>12</v>
      </c>
      <c r="B15" s="42" t="s">
        <v>154</v>
      </c>
      <c r="C15" s="42" t="s">
        <v>160</v>
      </c>
      <c r="D15" s="40">
        <v>25000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</row>
    <row r="16" spans="1:178" ht="18" x14ac:dyDescent="0.4">
      <c r="A16" s="35">
        <v>13</v>
      </c>
      <c r="B16" s="42" t="s">
        <v>75</v>
      </c>
      <c r="C16" s="42">
        <v>110</v>
      </c>
      <c r="D16" s="39" t="s">
        <v>159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</row>
    <row r="17" spans="1:178" ht="18" x14ac:dyDescent="0.4">
      <c r="A17" s="35">
        <v>14</v>
      </c>
      <c r="B17" s="42" t="s">
        <v>80</v>
      </c>
      <c r="C17" s="42">
        <v>670</v>
      </c>
      <c r="D17" s="39" t="s">
        <v>159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1:178" ht="18" x14ac:dyDescent="0.4">
      <c r="A18" s="35">
        <v>15</v>
      </c>
      <c r="B18" s="42" t="s">
        <v>84</v>
      </c>
      <c r="C18" s="43">
        <v>1000</v>
      </c>
      <c r="D18" s="39" t="s">
        <v>159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 spans="1:178" ht="18" x14ac:dyDescent="0.4">
      <c r="A19" s="35">
        <v>16</v>
      </c>
      <c r="B19" s="42" t="s">
        <v>90</v>
      </c>
      <c r="C19" s="43">
        <v>1040</v>
      </c>
      <c r="D19" s="39" t="s">
        <v>159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1:178" ht="18" x14ac:dyDescent="0.4">
      <c r="A20" s="35">
        <v>17</v>
      </c>
      <c r="B20" s="42" t="s">
        <v>95</v>
      </c>
      <c r="C20" s="42">
        <v>260</v>
      </c>
      <c r="D20" s="39" t="s">
        <v>159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</row>
    <row r="21" spans="1:178" ht="18" x14ac:dyDescent="0.4">
      <c r="A21" s="35">
        <v>18</v>
      </c>
      <c r="B21" s="42" t="s">
        <v>98</v>
      </c>
      <c r="C21" s="42">
        <v>550</v>
      </c>
      <c r="D21" s="39" t="s">
        <v>159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</row>
    <row r="22" spans="1:178" ht="18" x14ac:dyDescent="0.4">
      <c r="A22" s="35">
        <v>19</v>
      </c>
      <c r="B22" s="42" t="s">
        <v>101</v>
      </c>
      <c r="C22" s="42">
        <v>200</v>
      </c>
      <c r="D22" s="39" t="s">
        <v>159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</row>
    <row r="23" spans="1:178" ht="18.5" thickBot="1" x14ac:dyDescent="0.45">
      <c r="A23" s="36"/>
      <c r="B23" s="36"/>
      <c r="C23" s="36"/>
      <c r="D23" s="3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 spans="1:178" ht="18.5" thickBot="1" x14ac:dyDescent="0.45">
      <c r="A24" s="45" t="s">
        <v>158</v>
      </c>
      <c r="B24" s="46"/>
      <c r="C24" s="32">
        <f>SUM(C4:C22)</f>
        <v>25000</v>
      </c>
      <c r="D24" s="32">
        <f>D15</f>
        <v>25000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1:178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1:178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1:178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1:178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1:178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1:178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1:178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1:178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1:178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1:178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1:178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1:178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1:178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1:178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1:178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1:178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1:178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</row>
    <row r="42" spans="1:178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1:178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</row>
    <row r="44" spans="1:178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</row>
    <row r="45" spans="1:178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</row>
    <row r="46" spans="1:178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</row>
    <row r="47" spans="1:178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</row>
    <row r="48" spans="1:178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1:178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</row>
    <row r="50" spans="1:178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</row>
    <row r="51" spans="1:178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2" spans="1:178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</row>
    <row r="53" spans="1:178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</row>
    <row r="54" spans="1:178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</row>
    <row r="55" spans="1:178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</row>
    <row r="56" spans="1:178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</row>
    <row r="57" spans="1:178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</row>
    <row r="58" spans="1:178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</row>
    <row r="59" spans="1:178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</row>
    <row r="60" spans="1:178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</row>
    <row r="61" spans="1:178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</row>
    <row r="62" spans="1:178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</row>
    <row r="63" spans="1:178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</row>
    <row r="64" spans="1:178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</row>
    <row r="65" spans="1:178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</row>
    <row r="66" spans="1:178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</row>
    <row r="67" spans="1:178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</row>
    <row r="68" spans="1:178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</row>
    <row r="69" spans="1:178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</row>
    <row r="70" spans="1:178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</row>
    <row r="71" spans="1:178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</row>
    <row r="72" spans="1:178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</row>
    <row r="73" spans="1:178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</row>
    <row r="74" spans="1:178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</row>
    <row r="75" spans="1:178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</row>
    <row r="76" spans="1:178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</row>
    <row r="77" spans="1:178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</row>
    <row r="78" spans="1:178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</row>
    <row r="79" spans="1:178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</row>
    <row r="80" spans="1:178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</row>
    <row r="81" spans="1:178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</row>
    <row r="82" spans="1:178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</row>
    <row r="83" spans="1:178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</row>
    <row r="84" spans="1:178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</row>
    <row r="85" spans="1:178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</row>
    <row r="86" spans="1:178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</row>
    <row r="87" spans="1:178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</row>
    <row r="88" spans="1:178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</row>
    <row r="89" spans="1:178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</row>
    <row r="90" spans="1:178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</row>
    <row r="91" spans="1:178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</row>
    <row r="92" spans="1:178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</row>
    <row r="93" spans="1:178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</row>
    <row r="94" spans="1:178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</row>
    <row r="95" spans="1:178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</row>
    <row r="96" spans="1:178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</row>
    <row r="97" spans="1:178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</row>
    <row r="98" spans="1:178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</row>
    <row r="99" spans="1:178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</row>
    <row r="100" spans="1:178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</row>
    <row r="101" spans="1:178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</row>
    <row r="102" spans="1:178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</row>
    <row r="103" spans="1:178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</row>
    <row r="104" spans="1:178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</row>
    <row r="105" spans="1:178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</row>
    <row r="106" spans="1:178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</row>
    <row r="107" spans="1:178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</row>
    <row r="108" spans="1:178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</row>
    <row r="109" spans="1:178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</row>
    <row r="110" spans="1:178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</row>
    <row r="111" spans="1:178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</row>
    <row r="112" spans="1:178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</row>
    <row r="113" spans="1:178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</row>
    <row r="114" spans="1:178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</row>
    <row r="115" spans="1:178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</row>
    <row r="116" spans="1:178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</row>
    <row r="117" spans="1:178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</row>
    <row r="118" spans="1:178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</row>
    <row r="119" spans="1:178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</row>
    <row r="120" spans="1:178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</row>
    <row r="121" spans="1:178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</row>
    <row r="122" spans="1:178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</row>
    <row r="123" spans="1:178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</row>
    <row r="124" spans="1:178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</row>
    <row r="125" spans="1:178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</row>
    <row r="126" spans="1:178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</row>
    <row r="127" spans="1:178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</row>
    <row r="128" spans="1:178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</row>
    <row r="129" spans="1:178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</row>
    <row r="130" spans="1:178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</row>
    <row r="131" spans="1:178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</row>
    <row r="132" spans="1:178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</row>
    <row r="133" spans="1:178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</row>
    <row r="134" spans="1:178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</row>
    <row r="135" spans="1:178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</row>
    <row r="136" spans="1:178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</row>
    <row r="137" spans="1:178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</row>
    <row r="138" spans="1:178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</row>
    <row r="139" spans="1:178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</row>
    <row r="140" spans="1:178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</row>
    <row r="141" spans="1:178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</row>
    <row r="142" spans="1:178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</row>
    <row r="143" spans="1:178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</row>
    <row r="144" spans="1:178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</row>
    <row r="145" spans="1:178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</row>
    <row r="146" spans="1:178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</row>
    <row r="147" spans="1:178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</row>
    <row r="148" spans="1:178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</row>
    <row r="149" spans="1:178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</row>
    <row r="150" spans="1:178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</row>
    <row r="151" spans="1:178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</row>
    <row r="152" spans="1:178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</row>
    <row r="153" spans="1:178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</row>
    <row r="154" spans="1:178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</row>
    <row r="155" spans="1:178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</row>
    <row r="156" spans="1:178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</row>
    <row r="157" spans="1:178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</row>
    <row r="158" spans="1:178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</row>
    <row r="159" spans="1:178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</row>
    <row r="160" spans="1:178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</row>
    <row r="161" spans="1:178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</row>
    <row r="162" spans="1:178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</row>
    <row r="163" spans="1:178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</row>
    <row r="164" spans="1:178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</row>
    <row r="165" spans="1:178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</row>
    <row r="166" spans="1:178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</row>
    <row r="167" spans="1:178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</row>
    <row r="168" spans="1:178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</row>
    <row r="169" spans="1:178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</row>
    <row r="170" spans="1:178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</row>
    <row r="171" spans="1:178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</row>
    <row r="172" spans="1:178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</row>
    <row r="173" spans="1:178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</row>
    <row r="174" spans="1:178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</row>
    <row r="175" spans="1:178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</row>
    <row r="176" spans="1:178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</row>
    <row r="177" spans="1:178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</row>
    <row r="178" spans="1:178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</row>
    <row r="179" spans="1:178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</row>
    <row r="180" spans="1:178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</row>
    <row r="181" spans="1:178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</row>
    <row r="182" spans="1:178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</row>
    <row r="183" spans="1:178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</row>
    <row r="184" spans="1:178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</row>
    <row r="185" spans="1:178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</row>
    <row r="186" spans="1:178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</row>
    <row r="187" spans="1:178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</row>
    <row r="188" spans="1:178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</row>
    <row r="189" spans="1:178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</row>
    <row r="190" spans="1:178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</row>
    <row r="191" spans="1:178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</row>
    <row r="192" spans="1:178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</row>
    <row r="193" spans="1:178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</row>
    <row r="194" spans="1:178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</row>
    <row r="195" spans="1:178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</row>
    <row r="196" spans="1:178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</row>
    <row r="197" spans="1:178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</row>
    <row r="198" spans="1:178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</row>
    <row r="199" spans="1:178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</row>
    <row r="200" spans="1:178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</row>
    <row r="201" spans="1:178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</row>
    <row r="202" spans="1:178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</row>
    <row r="203" spans="1:178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</row>
    <row r="204" spans="1:178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</row>
    <row r="205" spans="1:178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</row>
    <row r="206" spans="1:178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</row>
    <row r="207" spans="1:178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</row>
    <row r="208" spans="1:178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</row>
    <row r="209" spans="1:178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</row>
    <row r="210" spans="1:178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</row>
    <row r="211" spans="1:178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</row>
    <row r="212" spans="1:178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</row>
    <row r="213" spans="1:178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</row>
    <row r="214" spans="1:178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</row>
    <row r="215" spans="1:178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</row>
    <row r="216" spans="1:178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</row>
    <row r="217" spans="1:178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</row>
    <row r="218" spans="1:178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</row>
    <row r="219" spans="1:178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</row>
    <row r="220" spans="1:178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</row>
    <row r="221" spans="1:178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</row>
    <row r="222" spans="1:178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</row>
    <row r="223" spans="1:178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</row>
    <row r="224" spans="1:178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</row>
    <row r="225" spans="1:178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</row>
    <row r="226" spans="1:178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</row>
    <row r="227" spans="1:178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</row>
    <row r="228" spans="1:178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</row>
    <row r="229" spans="1:178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</row>
    <row r="230" spans="1:178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</row>
    <row r="231" spans="1:178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</row>
    <row r="232" spans="1:178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</row>
    <row r="233" spans="1:178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</row>
    <row r="234" spans="1:178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</row>
    <row r="235" spans="1:178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</row>
    <row r="236" spans="1:178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</row>
    <row r="237" spans="1:178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</row>
    <row r="238" spans="1:178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</row>
    <row r="239" spans="1:178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</row>
    <row r="240" spans="1:178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</row>
    <row r="241" spans="1:178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</row>
    <row r="242" spans="1:178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</row>
    <row r="243" spans="1:178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</row>
    <row r="244" spans="1:178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</row>
    <row r="245" spans="1:178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</row>
    <row r="246" spans="1:178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</row>
    <row r="247" spans="1:178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</row>
    <row r="248" spans="1:178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</row>
    <row r="249" spans="1:178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</row>
    <row r="250" spans="1:178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</row>
    <row r="251" spans="1:178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</row>
    <row r="252" spans="1:178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</row>
    <row r="253" spans="1:178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</row>
    <row r="254" spans="1:178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</row>
    <row r="255" spans="1:178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</row>
    <row r="256" spans="1:178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</row>
    <row r="257" spans="1:178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</row>
    <row r="258" spans="1:178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</row>
    <row r="259" spans="1:178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</row>
    <row r="260" spans="1:178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</row>
    <row r="261" spans="1:178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</row>
    <row r="262" spans="1:178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</row>
    <row r="263" spans="1:178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</row>
    <row r="264" spans="1:178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</row>
    <row r="265" spans="1:178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</row>
    <row r="266" spans="1:178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</row>
    <row r="267" spans="1:178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</row>
    <row r="268" spans="1:178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</row>
    <row r="269" spans="1:178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</row>
    <row r="270" spans="1:178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</row>
    <row r="271" spans="1:178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</row>
    <row r="272" spans="1:178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</row>
    <row r="273" spans="1:178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</row>
    <row r="274" spans="1:178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</row>
    <row r="275" spans="1:178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</row>
    <row r="276" spans="1:178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</row>
    <row r="277" spans="1:178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</row>
    <row r="278" spans="1:178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</row>
    <row r="279" spans="1:178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</row>
    <row r="280" spans="1:178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</row>
    <row r="281" spans="1:178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</row>
    <row r="282" spans="1:178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</row>
    <row r="283" spans="1:178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</row>
    <row r="284" spans="1:178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</row>
    <row r="285" spans="1:178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</row>
    <row r="286" spans="1:178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</row>
    <row r="287" spans="1:178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</row>
    <row r="288" spans="1:178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</row>
    <row r="289" spans="1:178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</row>
    <row r="290" spans="1:178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</row>
    <row r="291" spans="1:178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</row>
    <row r="292" spans="1:178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</row>
    <row r="293" spans="1:178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</row>
    <row r="294" spans="1:178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</row>
    <row r="295" spans="1:178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</row>
    <row r="296" spans="1:178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</row>
    <row r="297" spans="1:178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</row>
    <row r="298" spans="1:178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</row>
    <row r="299" spans="1:178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</row>
    <row r="300" spans="1:178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</row>
    <row r="301" spans="1:178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</row>
    <row r="302" spans="1:178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</row>
    <row r="303" spans="1:178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</row>
    <row r="304" spans="1:178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</row>
    <row r="305" spans="1:178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</row>
    <row r="306" spans="1:178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</row>
    <row r="307" spans="1:178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</row>
    <row r="308" spans="1:178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</row>
    <row r="309" spans="1:178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</row>
    <row r="310" spans="1:178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</row>
    <row r="311" spans="1:178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</row>
    <row r="312" spans="1:178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</row>
    <row r="313" spans="1:178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</row>
    <row r="314" spans="1:178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</row>
    <row r="315" spans="1:178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</row>
    <row r="316" spans="1:178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</row>
    <row r="317" spans="1:178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</row>
    <row r="318" spans="1:178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</row>
    <row r="319" spans="1:178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</row>
    <row r="320" spans="1:178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</row>
    <row r="321" spans="1:178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</row>
    <row r="322" spans="1:178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</row>
    <row r="323" spans="1:178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</row>
    <row r="324" spans="1:178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</row>
    <row r="325" spans="1:178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</row>
    <row r="326" spans="1:178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</row>
    <row r="327" spans="1:178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</row>
    <row r="328" spans="1:178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</row>
    <row r="329" spans="1:178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</row>
    <row r="330" spans="1:178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</row>
    <row r="331" spans="1:178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</row>
    <row r="332" spans="1:178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</row>
    <row r="333" spans="1:178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</row>
    <row r="334" spans="1:178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</row>
    <row r="335" spans="1:178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</row>
    <row r="336" spans="1:178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</row>
    <row r="337" spans="1:178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</row>
    <row r="338" spans="1:178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</row>
    <row r="339" spans="1:178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</row>
    <row r="340" spans="1:178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</row>
    <row r="341" spans="1:178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</row>
    <row r="342" spans="1:178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</row>
    <row r="343" spans="1:178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</row>
    <row r="344" spans="1:178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</row>
    <row r="345" spans="1:178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</row>
    <row r="346" spans="1:178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</row>
    <row r="347" spans="1:178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</row>
    <row r="348" spans="1:178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</row>
    <row r="349" spans="1:178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</row>
    <row r="350" spans="1:178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</row>
    <row r="351" spans="1:178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</row>
    <row r="352" spans="1:178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</row>
    <row r="353" spans="1:178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</row>
    <row r="354" spans="1:178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</row>
    <row r="355" spans="1:178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</row>
    <row r="356" spans="1:178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</row>
    <row r="357" spans="1:178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</row>
    <row r="358" spans="1:178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</row>
    <row r="359" spans="1:178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</row>
    <row r="360" spans="1:178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</row>
    <row r="361" spans="1:178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</row>
    <row r="362" spans="1:178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</row>
    <row r="363" spans="1:178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</row>
    <row r="364" spans="1:178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</row>
    <row r="365" spans="1:178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</row>
    <row r="366" spans="1:178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</row>
    <row r="367" spans="1:178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</row>
    <row r="368" spans="1:178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</row>
    <row r="369" spans="1:178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</row>
    <row r="370" spans="1:178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</row>
    <row r="371" spans="1:178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</row>
    <row r="372" spans="1:178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</row>
    <row r="373" spans="1:178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</row>
    <row r="374" spans="1:178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</row>
    <row r="375" spans="1:178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</row>
    <row r="376" spans="1:178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</row>
    <row r="377" spans="1:178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</row>
    <row r="378" spans="1:178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</row>
    <row r="379" spans="1:178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</row>
    <row r="380" spans="1:178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</row>
    <row r="381" spans="1:178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</row>
    <row r="382" spans="1:178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</row>
    <row r="383" spans="1:178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</row>
    <row r="384" spans="1:178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</row>
    <row r="385" spans="1:178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</row>
    <row r="386" spans="1:178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</row>
    <row r="387" spans="1:178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</row>
    <row r="388" spans="1:178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</row>
    <row r="389" spans="1:178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</row>
    <row r="390" spans="1:178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</row>
    <row r="391" spans="1:178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</row>
    <row r="392" spans="1:178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</row>
    <row r="393" spans="1:178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</row>
    <row r="394" spans="1:178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</row>
    <row r="395" spans="1:178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</row>
    <row r="396" spans="1:178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</row>
    <row r="397" spans="1:178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</row>
    <row r="398" spans="1:178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</row>
    <row r="399" spans="1:178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</row>
    <row r="400" spans="1:178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</row>
    <row r="401" spans="1:178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</row>
    <row r="402" spans="1:178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</row>
    <row r="403" spans="1:178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</row>
    <row r="404" spans="1:178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</row>
    <row r="405" spans="1:178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</row>
    <row r="406" spans="1:178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</row>
    <row r="407" spans="1:178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</row>
    <row r="408" spans="1:178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</row>
    <row r="409" spans="1:178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</row>
    <row r="410" spans="1:178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</row>
    <row r="411" spans="1:178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</row>
    <row r="412" spans="1:178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</row>
    <row r="413" spans="1:178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</row>
    <row r="414" spans="1:178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</row>
    <row r="415" spans="1:178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</row>
    <row r="416" spans="1:178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</row>
    <row r="417" spans="1:178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</row>
    <row r="418" spans="1:178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</row>
    <row r="419" spans="1:178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</row>
    <row r="420" spans="1:178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</row>
    <row r="421" spans="1:178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</row>
    <row r="422" spans="1:178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</row>
    <row r="423" spans="1:178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</row>
    <row r="424" spans="1:178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</row>
    <row r="425" spans="1:178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</row>
    <row r="426" spans="1:178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</row>
    <row r="427" spans="1:178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</row>
    <row r="428" spans="1:178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</row>
    <row r="429" spans="1:178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</row>
    <row r="430" spans="1:178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</row>
    <row r="431" spans="1:178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</row>
    <row r="432" spans="1:178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</row>
    <row r="433" spans="1:178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</row>
    <row r="434" spans="1:178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</row>
    <row r="435" spans="1:178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</row>
    <row r="436" spans="1:178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</row>
    <row r="437" spans="1:178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</row>
    <row r="438" spans="1:178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</row>
    <row r="439" spans="1:178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</row>
    <row r="440" spans="1:178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</row>
    <row r="441" spans="1:178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</row>
    <row r="442" spans="1:178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</row>
    <row r="443" spans="1:178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</row>
    <row r="444" spans="1:178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</row>
    <row r="445" spans="1:178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</row>
    <row r="446" spans="1:178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</row>
    <row r="447" spans="1:178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</row>
    <row r="448" spans="1:178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</row>
    <row r="449" spans="1:178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</row>
    <row r="450" spans="1:178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</row>
    <row r="451" spans="1:178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</row>
    <row r="452" spans="1:178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</row>
    <row r="453" spans="1:178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</row>
    <row r="454" spans="1:178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</row>
    <row r="455" spans="1:178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</row>
    <row r="456" spans="1:178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</row>
    <row r="457" spans="1:178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</row>
    <row r="458" spans="1:178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</row>
    <row r="459" spans="1:178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</row>
    <row r="460" spans="1:178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</row>
    <row r="461" spans="1:178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</row>
    <row r="462" spans="1:178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</row>
    <row r="463" spans="1:178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</row>
    <row r="464" spans="1:178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</row>
    <row r="465" spans="1:178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</row>
    <row r="466" spans="1:178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</row>
    <row r="467" spans="1:178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</row>
    <row r="468" spans="1:178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</row>
    <row r="469" spans="1:178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</row>
    <row r="470" spans="1:178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</row>
    <row r="471" spans="1:178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</row>
    <row r="472" spans="1:178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</row>
    <row r="473" spans="1:178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</row>
    <row r="474" spans="1:178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</row>
    <row r="475" spans="1:178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</row>
    <row r="476" spans="1:178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</row>
    <row r="477" spans="1:178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</row>
    <row r="478" spans="1:178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</row>
    <row r="479" spans="1:178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</row>
    <row r="480" spans="1:178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</row>
    <row r="481" spans="1:178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</row>
    <row r="482" spans="1:178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</row>
    <row r="483" spans="1:178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</row>
    <row r="484" spans="1:178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</row>
    <row r="485" spans="1:178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</row>
    <row r="486" spans="1:178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</row>
    <row r="487" spans="1:178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</row>
    <row r="488" spans="1:178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</row>
    <row r="489" spans="1:178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</row>
    <row r="490" spans="1:178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</row>
    <row r="491" spans="1:178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</row>
    <row r="492" spans="1:178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</row>
    <row r="493" spans="1:178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</row>
    <row r="494" spans="1:178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</row>
    <row r="495" spans="1:178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</row>
    <row r="496" spans="1:178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</row>
    <row r="497" spans="1:178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</row>
    <row r="498" spans="1:178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</row>
    <row r="499" spans="1:178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</row>
    <row r="500" spans="1:178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</row>
    <row r="501" spans="1:178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</row>
    <row r="502" spans="1:178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</row>
    <row r="503" spans="1:178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</row>
    <row r="504" spans="1:178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</row>
    <row r="505" spans="1:178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</row>
    <row r="506" spans="1:178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</row>
    <row r="507" spans="1:178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</row>
    <row r="508" spans="1:178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</row>
    <row r="509" spans="1:178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</row>
    <row r="510" spans="1:178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</row>
    <row r="511" spans="1:178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</row>
    <row r="512" spans="1:178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</row>
    <row r="513" spans="1:178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</row>
    <row r="514" spans="1:178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</row>
    <row r="515" spans="1:178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</row>
    <row r="516" spans="1:178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</row>
    <row r="517" spans="1:178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</row>
    <row r="518" spans="1:178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</row>
    <row r="519" spans="1:178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</row>
    <row r="520" spans="1:178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</row>
    <row r="521" spans="1:178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</row>
    <row r="522" spans="1:178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</row>
    <row r="523" spans="1:178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</row>
    <row r="524" spans="1:178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</row>
    <row r="525" spans="1:178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</row>
    <row r="526" spans="1:178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</row>
    <row r="527" spans="1:178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</row>
    <row r="528" spans="1:178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</row>
    <row r="529" spans="1:178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</row>
    <row r="530" spans="1:178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</row>
    <row r="531" spans="1:178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</row>
    <row r="532" spans="1:178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</row>
    <row r="533" spans="1:178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</row>
    <row r="534" spans="1:178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</row>
    <row r="535" spans="1:178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</row>
    <row r="536" spans="1:178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</row>
    <row r="537" spans="1:178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</row>
    <row r="538" spans="1:178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</row>
    <row r="539" spans="1:178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</row>
    <row r="540" spans="1:178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</row>
    <row r="541" spans="1:178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</row>
    <row r="542" spans="1:178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</row>
    <row r="543" spans="1:178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</row>
    <row r="544" spans="1:178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</row>
    <row r="545" spans="1:178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</row>
    <row r="546" spans="1:178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</row>
    <row r="547" spans="1:178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</row>
    <row r="548" spans="1:178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</row>
    <row r="549" spans="1:178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</row>
    <row r="550" spans="1:178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</row>
    <row r="551" spans="1:178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</row>
    <row r="552" spans="1:178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</row>
    <row r="553" spans="1:178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</row>
    <row r="554" spans="1:178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</row>
    <row r="555" spans="1:178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</row>
    <row r="556" spans="1:178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</row>
    <row r="557" spans="1:178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</row>
    <row r="558" spans="1:178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</row>
    <row r="559" spans="1:178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</row>
    <row r="560" spans="1:178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</row>
    <row r="561" spans="1:178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</row>
    <row r="562" spans="1:178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</row>
    <row r="563" spans="1:178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</row>
    <row r="564" spans="1:178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</row>
    <row r="565" spans="1:178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</row>
    <row r="566" spans="1:178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</row>
    <row r="567" spans="1:178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</row>
    <row r="568" spans="1:178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</row>
    <row r="569" spans="1:178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</row>
    <row r="570" spans="1:178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</row>
    <row r="571" spans="1:178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</row>
    <row r="572" spans="1:178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</row>
    <row r="573" spans="1:178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</row>
    <row r="574" spans="1:178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</row>
    <row r="575" spans="1:178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</row>
    <row r="576" spans="1:178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</row>
    <row r="577" spans="1:178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</row>
    <row r="578" spans="1:178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</row>
    <row r="579" spans="1:178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</row>
    <row r="580" spans="1:178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</row>
    <row r="581" spans="1:178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</row>
    <row r="582" spans="1:178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</row>
    <row r="583" spans="1:178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</row>
    <row r="584" spans="1:178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</row>
    <row r="585" spans="1:178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</row>
    <row r="586" spans="1:178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</row>
    <row r="587" spans="1:178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</row>
    <row r="588" spans="1:178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</row>
    <row r="589" spans="1:178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</row>
    <row r="590" spans="1:178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</row>
    <row r="591" spans="1:178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</row>
    <row r="592" spans="1:178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</row>
    <row r="593" spans="1:178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</row>
    <row r="594" spans="1:178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</row>
    <row r="595" spans="1:178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</row>
    <row r="596" spans="1:178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</row>
    <row r="597" spans="1:178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</row>
    <row r="598" spans="1:178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</row>
    <row r="599" spans="1:178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</row>
    <row r="600" spans="1:178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</row>
    <row r="601" spans="1:178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</row>
    <row r="602" spans="1:178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</row>
    <row r="603" spans="1:178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</row>
    <row r="604" spans="1:178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</row>
    <row r="605" spans="1:178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</row>
    <row r="606" spans="1:178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</row>
    <row r="607" spans="1:178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</row>
    <row r="608" spans="1:178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</row>
    <row r="609" spans="1:178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</row>
    <row r="610" spans="1:178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</row>
    <row r="611" spans="1:178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</row>
    <row r="612" spans="1:178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</row>
    <row r="613" spans="1:178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</row>
    <row r="614" spans="1:178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</row>
    <row r="615" spans="1:178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</row>
    <row r="616" spans="1:178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</row>
    <row r="617" spans="1:178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</row>
    <row r="618" spans="1:178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</row>
    <row r="619" spans="1:178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</row>
    <row r="620" spans="1:178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</row>
    <row r="621" spans="1:178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</row>
    <row r="622" spans="1:178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</row>
    <row r="623" spans="1:178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</row>
    <row r="624" spans="1:178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</row>
    <row r="625" spans="1:178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</row>
    <row r="626" spans="1:178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</row>
    <row r="627" spans="1:178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</row>
    <row r="628" spans="1:178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</row>
    <row r="629" spans="1:178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</row>
    <row r="630" spans="1:178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</row>
    <row r="631" spans="1:178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</row>
    <row r="632" spans="1:178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</row>
    <row r="633" spans="1:178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</row>
    <row r="634" spans="1:178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</row>
    <row r="635" spans="1:178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</row>
    <row r="636" spans="1:178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</row>
    <row r="637" spans="1:178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</row>
    <row r="638" spans="1:178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</row>
    <row r="639" spans="1:178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</row>
    <row r="640" spans="1:178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</row>
    <row r="641" spans="1:178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</row>
    <row r="642" spans="1:178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</row>
    <row r="643" spans="1:178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</row>
    <row r="644" spans="1:178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</row>
    <row r="645" spans="1:178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</row>
    <row r="646" spans="1:178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</row>
    <row r="647" spans="1:178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</row>
    <row r="648" spans="1:178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</row>
    <row r="649" spans="1:178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</row>
    <row r="650" spans="1:178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</row>
    <row r="651" spans="1:178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</row>
    <row r="652" spans="1:178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</row>
    <row r="653" spans="1:178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</row>
    <row r="654" spans="1:178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</row>
    <row r="655" spans="1:178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</row>
    <row r="656" spans="1:178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</row>
    <row r="657" spans="1:178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</row>
    <row r="658" spans="1:178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</row>
    <row r="659" spans="1:178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</row>
    <row r="660" spans="1:178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</row>
    <row r="661" spans="1:178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</row>
    <row r="662" spans="1:178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</row>
    <row r="663" spans="1:178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</row>
    <row r="664" spans="1:178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</row>
    <row r="665" spans="1:178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</row>
    <row r="666" spans="1:178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</row>
    <row r="667" spans="1:178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</row>
    <row r="668" spans="1:178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</row>
    <row r="669" spans="1:178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</row>
    <row r="670" spans="1:178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</row>
    <row r="671" spans="1:178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</row>
    <row r="672" spans="1:178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</row>
    <row r="673" spans="1:178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</row>
    <row r="674" spans="1:178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</row>
    <row r="675" spans="1:178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</row>
    <row r="676" spans="1:178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</row>
  </sheetData>
  <mergeCells count="2">
    <mergeCell ref="A1:D1"/>
    <mergeCell ref="A24:B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97F7-AE66-4A04-93F0-29D0CCC5856D}">
  <dimension ref="A1:AJ1159"/>
  <sheetViews>
    <sheetView workbookViewId="0">
      <selection activeCell="C24" sqref="C24"/>
    </sheetView>
  </sheetViews>
  <sheetFormatPr defaultRowHeight="14.5" x14ac:dyDescent="0.35"/>
  <cols>
    <col min="1" max="1" width="51.81640625" customWidth="1"/>
    <col min="2" max="3" width="17.453125" customWidth="1"/>
    <col min="4" max="4" width="20.81640625" customWidth="1"/>
    <col min="5" max="5" width="17.36328125" customWidth="1"/>
    <col min="6" max="6" width="17.453125" customWidth="1"/>
  </cols>
  <sheetData>
    <row r="1" spans="1:36" ht="18" x14ac:dyDescent="0.4">
      <c r="A1" s="2" t="s">
        <v>161</v>
      </c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8.5" thickBot="1" x14ac:dyDescent="0.45">
      <c r="A3" s="5" t="s">
        <v>163</v>
      </c>
      <c r="B3" s="6" t="s">
        <v>108</v>
      </c>
      <c r="C3" s="6" t="s">
        <v>108</v>
      </c>
      <c r="D3" s="6" t="s">
        <v>164</v>
      </c>
      <c r="E3" s="6" t="s">
        <v>108</v>
      </c>
      <c r="F3" s="7" t="s">
        <v>108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8" x14ac:dyDescent="0.4">
      <c r="A4" s="8" t="s">
        <v>166</v>
      </c>
      <c r="B4" s="9"/>
      <c r="C4" s="9">
        <v>300</v>
      </c>
      <c r="D4" s="9" t="s">
        <v>165</v>
      </c>
      <c r="E4" s="9"/>
      <c r="F4" s="28">
        <v>25000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8" x14ac:dyDescent="0.4">
      <c r="A5" s="11" t="s">
        <v>167</v>
      </c>
      <c r="B5" s="12"/>
      <c r="C5" s="12">
        <v>450</v>
      </c>
      <c r="D5" s="12"/>
      <c r="E5" s="12"/>
      <c r="F5" s="1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8" x14ac:dyDescent="0.4">
      <c r="A6" s="11" t="s">
        <v>168</v>
      </c>
      <c r="B6" s="12"/>
      <c r="C6" s="12">
        <v>200</v>
      </c>
      <c r="D6" s="12"/>
      <c r="E6" s="12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8" x14ac:dyDescent="0.4">
      <c r="A7" s="11" t="s">
        <v>169</v>
      </c>
      <c r="B7" s="12"/>
      <c r="C7" s="12">
        <v>330</v>
      </c>
      <c r="D7" s="12"/>
      <c r="E7" s="12"/>
      <c r="F7" s="1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8" x14ac:dyDescent="0.4">
      <c r="A8" s="11" t="s">
        <v>170</v>
      </c>
      <c r="B8" s="12"/>
      <c r="C8" s="12">
        <v>550</v>
      </c>
      <c r="D8" s="12"/>
      <c r="E8" s="12"/>
      <c r="F8" s="1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8" x14ac:dyDescent="0.4">
      <c r="A9" s="50" t="s">
        <v>171</v>
      </c>
      <c r="B9" s="12"/>
      <c r="C9" s="12">
        <v>850</v>
      </c>
      <c r="D9" s="12"/>
      <c r="E9" s="12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8" x14ac:dyDescent="0.4">
      <c r="A10" s="11" t="s">
        <v>172</v>
      </c>
      <c r="B10" s="12"/>
      <c r="C10" s="14">
        <v>1800</v>
      </c>
      <c r="D10" s="12"/>
      <c r="E10" s="12"/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8" x14ac:dyDescent="0.4">
      <c r="A11" s="11" t="s">
        <v>173</v>
      </c>
      <c r="B11" s="12"/>
      <c r="C11" s="12">
        <v>600</v>
      </c>
      <c r="D11" s="12"/>
      <c r="E11" s="12"/>
      <c r="F11" s="1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8" x14ac:dyDescent="0.4">
      <c r="A12" s="11" t="s">
        <v>174</v>
      </c>
      <c r="B12" s="12"/>
      <c r="C12" s="12">
        <v>200</v>
      </c>
      <c r="D12" s="12"/>
      <c r="E12" s="12"/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8" x14ac:dyDescent="0.4">
      <c r="A13" s="11" t="s">
        <v>175</v>
      </c>
      <c r="B13" s="12"/>
      <c r="C13" s="14">
        <v>2000</v>
      </c>
      <c r="D13" s="12"/>
      <c r="E13" s="12"/>
      <c r="F13" s="1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8" x14ac:dyDescent="0.4">
      <c r="A14" s="11" t="s">
        <v>176</v>
      </c>
      <c r="B14" s="12"/>
      <c r="C14" s="12">
        <v>110</v>
      </c>
      <c r="D14" s="12"/>
      <c r="E14" s="12"/>
      <c r="F14" s="1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8" x14ac:dyDescent="0.4">
      <c r="A15" s="11" t="s">
        <v>177</v>
      </c>
      <c r="B15" s="12"/>
      <c r="C15" s="12">
        <v>670</v>
      </c>
      <c r="D15" s="12"/>
      <c r="E15" s="12"/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8" x14ac:dyDescent="0.4">
      <c r="A16" s="11" t="s">
        <v>178</v>
      </c>
      <c r="B16" s="12"/>
      <c r="C16" s="14">
        <v>1000</v>
      </c>
      <c r="D16" s="12"/>
      <c r="E16" s="12"/>
      <c r="F16" s="1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8" x14ac:dyDescent="0.4">
      <c r="A17" s="11" t="s">
        <v>179</v>
      </c>
      <c r="B17" s="12"/>
      <c r="C17" s="14">
        <v>1040</v>
      </c>
      <c r="D17" s="12"/>
      <c r="E17" s="12"/>
      <c r="F17" s="1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8" x14ac:dyDescent="0.4">
      <c r="A18" s="11" t="s">
        <v>180</v>
      </c>
      <c r="B18" s="12"/>
      <c r="C18" s="12">
        <v>260</v>
      </c>
      <c r="D18" s="12"/>
      <c r="E18" s="12"/>
      <c r="F18" s="1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8" x14ac:dyDescent="0.4">
      <c r="A19" s="11" t="s">
        <v>181</v>
      </c>
      <c r="B19" s="12"/>
      <c r="C19" s="12">
        <v>550</v>
      </c>
      <c r="D19" s="12"/>
      <c r="E19" s="12"/>
      <c r="F19" s="1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8" x14ac:dyDescent="0.4">
      <c r="A20" s="11" t="s">
        <v>182</v>
      </c>
      <c r="B20" s="12"/>
      <c r="C20" s="12">
        <v>200</v>
      </c>
      <c r="D20" s="12"/>
      <c r="E20" s="12"/>
      <c r="F20" s="1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8" x14ac:dyDescent="0.4">
      <c r="A21" s="11" t="s">
        <v>190</v>
      </c>
      <c r="B21" s="12"/>
      <c r="C21" s="14">
        <f>SUM(F22)-SUM(C4:C20)</f>
        <v>13890</v>
      </c>
      <c r="D21" s="12"/>
      <c r="E21" s="12"/>
      <c r="F21" s="1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8.5" thickBot="1" x14ac:dyDescent="0.45">
      <c r="A22" s="16"/>
      <c r="B22" s="17"/>
      <c r="C22" s="51">
        <f>F22</f>
        <v>25000</v>
      </c>
      <c r="D22" s="17"/>
      <c r="E22" s="17"/>
      <c r="F22" s="52">
        <f>SUM(F4)</f>
        <v>25000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  <row r="1001" spans="1:36" ht="1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</row>
    <row r="1002" spans="1:36" ht="1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</row>
    <row r="1003" spans="1:36" ht="1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</row>
    <row r="1004" spans="1:36" ht="1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</row>
    <row r="1005" spans="1:36" ht="1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</row>
    <row r="1006" spans="1:36" ht="1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</row>
    <row r="1007" spans="1:36" ht="1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</row>
    <row r="1008" spans="1:36" ht="1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</row>
    <row r="1009" spans="1:36" ht="1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</row>
    <row r="1010" spans="1:36" ht="1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</row>
    <row r="1011" spans="1:36" ht="1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</row>
    <row r="1012" spans="1:36" ht="1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</row>
    <row r="1013" spans="1:36" ht="1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</row>
    <row r="1014" spans="1:36" ht="1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</row>
    <row r="1015" spans="1:36" ht="1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</row>
    <row r="1016" spans="1:36" ht="1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</row>
    <row r="1017" spans="1:36" ht="1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</row>
    <row r="1018" spans="1:36" ht="1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</row>
    <row r="1019" spans="1:36" ht="1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</row>
    <row r="1020" spans="1:36" ht="1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</row>
    <row r="1021" spans="1:36" ht="1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</row>
    <row r="1022" spans="1:36" ht="1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</row>
    <row r="1023" spans="1:36" ht="1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</row>
    <row r="1024" spans="1:36" ht="1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</row>
    <row r="1025" spans="1:36" ht="1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</row>
    <row r="1026" spans="1:36" ht="1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</row>
    <row r="1027" spans="1:36" ht="1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</row>
    <row r="1028" spans="1:36" ht="1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</row>
    <row r="1029" spans="1:36" ht="1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</row>
    <row r="1030" spans="1:36" ht="1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</row>
    <row r="1031" spans="1:36" ht="1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</row>
    <row r="1032" spans="1:36" ht="1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</row>
    <row r="1033" spans="1:36" ht="1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</row>
    <row r="1034" spans="1:36" ht="1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</row>
    <row r="1035" spans="1:36" ht="1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</row>
    <row r="1036" spans="1:36" ht="1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</row>
    <row r="1037" spans="1:36" ht="1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</row>
    <row r="1038" spans="1:36" ht="1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</row>
    <row r="1039" spans="1:36" ht="1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</row>
    <row r="1040" spans="1:36" ht="1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</row>
    <row r="1041" spans="1:36" ht="1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</row>
    <row r="1042" spans="1:36" ht="1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</row>
    <row r="1043" spans="1:36" ht="1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</row>
    <row r="1044" spans="1:36" ht="1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</row>
    <row r="1045" spans="1:36" ht="1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</row>
    <row r="1046" spans="1:36" ht="1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</row>
    <row r="1047" spans="1:36" ht="1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</row>
    <row r="1048" spans="1:36" ht="1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</row>
    <row r="1049" spans="1:36" ht="1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</row>
    <row r="1050" spans="1:36" ht="1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</row>
    <row r="1051" spans="1:36" ht="1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</row>
    <row r="1052" spans="1:36" ht="1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</row>
    <row r="1053" spans="1:36" ht="1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</row>
    <row r="1054" spans="1:36" ht="1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</row>
    <row r="1055" spans="1:36" ht="1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</row>
    <row r="1056" spans="1:36" ht="1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</row>
    <row r="1057" spans="1:36" ht="1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</row>
    <row r="1058" spans="1:36" ht="1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</row>
    <row r="1059" spans="1:36" ht="1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</row>
    <row r="1060" spans="1:36" ht="1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</row>
    <row r="1061" spans="1:36" ht="1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</row>
    <row r="1062" spans="1:36" ht="1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</row>
    <row r="1063" spans="1:36" ht="1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</row>
    <row r="1064" spans="1:36" ht="1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</row>
    <row r="1065" spans="1:36" ht="1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</row>
    <row r="1066" spans="1:36" ht="1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</row>
    <row r="1067" spans="1:36" ht="1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</row>
    <row r="1068" spans="1:36" ht="1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</row>
    <row r="1069" spans="1:36" ht="1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</row>
    <row r="1070" spans="1:36" ht="1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</row>
    <row r="1071" spans="1:36" ht="1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</row>
    <row r="1072" spans="1:36" ht="1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</row>
    <row r="1073" spans="1:36" ht="1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</row>
    <row r="1074" spans="1:36" ht="1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</row>
    <row r="1075" spans="1:36" ht="1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</row>
    <row r="1076" spans="1:36" ht="1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</row>
    <row r="1077" spans="1:36" ht="1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</row>
    <row r="1078" spans="1:36" ht="1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</row>
    <row r="1079" spans="1:36" ht="1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</row>
    <row r="1080" spans="1:36" ht="1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</row>
    <row r="1081" spans="1:36" ht="1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</row>
    <row r="1082" spans="1:36" ht="1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</row>
    <row r="1083" spans="1:36" ht="1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</row>
    <row r="1084" spans="1:36" ht="1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</row>
    <row r="1085" spans="1:36" ht="1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</row>
    <row r="1086" spans="1:36" ht="1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</row>
    <row r="1087" spans="1:36" ht="1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</row>
    <row r="1088" spans="1:36" ht="1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</row>
    <row r="1089" spans="1:36" ht="1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</row>
    <row r="1090" spans="1:36" ht="1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</row>
    <row r="1091" spans="1:36" ht="1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</row>
    <row r="1092" spans="1:36" ht="1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</row>
    <row r="1093" spans="1:36" ht="1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</row>
    <row r="1094" spans="1:36" ht="1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</row>
    <row r="1095" spans="1:36" ht="1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</row>
    <row r="1096" spans="1:36" ht="1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</row>
    <row r="1097" spans="1:36" ht="1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</row>
    <row r="1098" spans="1:36" ht="1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</row>
    <row r="1099" spans="1:36" ht="1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</row>
    <row r="1100" spans="1:36" ht="1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</row>
    <row r="1101" spans="1:36" ht="1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</row>
    <row r="1102" spans="1:36" ht="1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</row>
    <row r="1103" spans="1:36" ht="1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</row>
    <row r="1104" spans="1:36" ht="1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</row>
    <row r="1105" spans="1:36" ht="1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</row>
    <row r="1106" spans="1:36" ht="1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</row>
    <row r="1107" spans="1:36" ht="1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</row>
    <row r="1108" spans="1:36" ht="1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</row>
    <row r="1109" spans="1:36" ht="1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</row>
    <row r="1110" spans="1:36" ht="1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</row>
    <row r="1111" spans="1:36" ht="1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</row>
    <row r="1112" spans="1:36" ht="18" x14ac:dyDescent="0.4">
      <c r="A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</row>
    <row r="1113" spans="1:36" ht="18" x14ac:dyDescent="0.4">
      <c r="A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</row>
    <row r="1114" spans="1:36" ht="18" x14ac:dyDescent="0.4">
      <c r="A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</row>
    <row r="1115" spans="1:36" ht="18" x14ac:dyDescent="0.4">
      <c r="A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</row>
    <row r="1116" spans="1:36" ht="18" x14ac:dyDescent="0.4">
      <c r="A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</row>
    <row r="1117" spans="1:36" ht="18" x14ac:dyDescent="0.4">
      <c r="A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</row>
    <row r="1118" spans="1:36" ht="18" x14ac:dyDescent="0.4">
      <c r="A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</row>
    <row r="1119" spans="1:36" ht="18" x14ac:dyDescent="0.4">
      <c r="A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</row>
    <row r="1120" spans="1:36" ht="18" x14ac:dyDescent="0.4">
      <c r="A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</row>
    <row r="1121" spans="1:36" ht="18" x14ac:dyDescent="0.4">
      <c r="A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</row>
    <row r="1122" spans="1:36" ht="18" x14ac:dyDescent="0.4">
      <c r="A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</row>
    <row r="1123" spans="1:36" ht="18" x14ac:dyDescent="0.4">
      <c r="A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</row>
    <row r="1124" spans="1:36" ht="18" x14ac:dyDescent="0.4">
      <c r="A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</row>
    <row r="1125" spans="1:36" ht="18" x14ac:dyDescent="0.4">
      <c r="A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</row>
    <row r="1126" spans="1:36" ht="18" x14ac:dyDescent="0.4">
      <c r="A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</row>
    <row r="1127" spans="1:36" ht="18" x14ac:dyDescent="0.4">
      <c r="A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</row>
    <row r="1128" spans="1:36" ht="18" x14ac:dyDescent="0.4">
      <c r="A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</row>
    <row r="1129" spans="1:36" ht="18" x14ac:dyDescent="0.4">
      <c r="A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</row>
    <row r="1130" spans="1:36" ht="18" x14ac:dyDescent="0.4">
      <c r="A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</row>
    <row r="1131" spans="1:36" ht="18" x14ac:dyDescent="0.4">
      <c r="A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</row>
    <row r="1132" spans="1:36" ht="18" x14ac:dyDescent="0.4"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</row>
    <row r="1133" spans="1:36" ht="18" x14ac:dyDescent="0.4"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</row>
    <row r="1134" spans="1:36" ht="18" x14ac:dyDescent="0.4"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</row>
    <row r="1135" spans="1:36" ht="18" x14ac:dyDescent="0.4"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</row>
    <row r="1136" spans="1:36" ht="18" x14ac:dyDescent="0.4"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</row>
    <row r="1137" spans="4:36" ht="18" x14ac:dyDescent="0.4"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</row>
    <row r="1138" spans="4:36" ht="18" x14ac:dyDescent="0.4"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</row>
    <row r="1139" spans="4:36" ht="18" x14ac:dyDescent="0.4"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</row>
    <row r="1140" spans="4:36" ht="18" x14ac:dyDescent="0.4"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</row>
    <row r="1141" spans="4:36" ht="18" x14ac:dyDescent="0.4"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</row>
    <row r="1142" spans="4:36" ht="18" x14ac:dyDescent="0.4"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</row>
    <row r="1143" spans="4:36" ht="18" x14ac:dyDescent="0.4"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</row>
    <row r="1144" spans="4:36" ht="18" x14ac:dyDescent="0.4"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</row>
    <row r="1145" spans="4:36" ht="18" x14ac:dyDescent="0.4"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</row>
    <row r="1146" spans="4:36" ht="18" x14ac:dyDescent="0.4"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</row>
    <row r="1147" spans="4:36" ht="18" x14ac:dyDescent="0.4"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</row>
    <row r="1148" spans="4:36" ht="18" x14ac:dyDescent="0.4"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</row>
    <row r="1149" spans="4:36" ht="18" x14ac:dyDescent="0.4"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</row>
    <row r="1150" spans="4:36" ht="18" x14ac:dyDescent="0.4"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</row>
    <row r="1151" spans="4:36" ht="18" x14ac:dyDescent="0.4"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</row>
    <row r="1152" spans="4:36" ht="18" x14ac:dyDescent="0.4"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</row>
    <row r="1153" spans="4:36" ht="18" x14ac:dyDescent="0.4"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</row>
    <row r="1154" spans="4:36" ht="18" x14ac:dyDescent="0.4"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</row>
    <row r="1155" spans="4:36" ht="18" x14ac:dyDescent="0.4"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</row>
    <row r="1156" spans="4:36" ht="18" x14ac:dyDescent="0.4"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</row>
    <row r="1157" spans="4:36" ht="18" x14ac:dyDescent="0.4"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</row>
    <row r="1158" spans="4:36" ht="18" x14ac:dyDescent="0.4"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</row>
    <row r="1159" spans="4:36" ht="18" x14ac:dyDescent="0.4"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726E-5401-4FD0-B803-BA16341FB825}">
  <dimension ref="A1:T449"/>
  <sheetViews>
    <sheetView tabSelected="1" workbookViewId="0">
      <selection activeCell="E13" sqref="E13"/>
    </sheetView>
  </sheetViews>
  <sheetFormatPr defaultRowHeight="14.5" x14ac:dyDescent="0.35"/>
  <cols>
    <col min="1" max="1" width="21.81640625" customWidth="1"/>
    <col min="2" max="3" width="17.36328125" customWidth="1"/>
    <col min="4" max="4" width="21.08984375" customWidth="1"/>
    <col min="5" max="5" width="17.1796875" customWidth="1"/>
    <col min="6" max="6" width="17.26953125" customWidth="1"/>
  </cols>
  <sheetData>
    <row r="1" spans="1:20" ht="18" x14ac:dyDescent="0.4">
      <c r="A1" s="2" t="s">
        <v>183</v>
      </c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.5" thickBot="1" x14ac:dyDescent="0.45">
      <c r="A3" s="47" t="s">
        <v>184</v>
      </c>
      <c r="B3" s="48" t="s">
        <v>108</v>
      </c>
      <c r="C3" s="48" t="s">
        <v>108</v>
      </c>
      <c r="D3" s="48" t="s">
        <v>185</v>
      </c>
      <c r="E3" s="48" t="s">
        <v>108</v>
      </c>
      <c r="F3" s="49" t="s">
        <v>108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" x14ac:dyDescent="0.4">
      <c r="A4" s="53" t="s">
        <v>186</v>
      </c>
      <c r="B4" s="54" t="s">
        <v>188</v>
      </c>
      <c r="C4" s="54" t="s">
        <v>188</v>
      </c>
      <c r="D4" s="54" t="s">
        <v>189</v>
      </c>
      <c r="E4" s="54"/>
      <c r="F4" s="55">
        <v>13890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8" x14ac:dyDescent="0.4">
      <c r="A5" s="11" t="s">
        <v>187</v>
      </c>
      <c r="B5" s="22"/>
      <c r="C5" s="14">
        <v>13890</v>
      </c>
      <c r="D5" s="12"/>
      <c r="E5" s="12"/>
      <c r="F5" s="1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8" x14ac:dyDescent="0.4">
      <c r="A6" s="11"/>
      <c r="B6" s="12"/>
      <c r="C6" s="12"/>
      <c r="D6" s="12"/>
      <c r="E6" s="12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8.5" thickBot="1" x14ac:dyDescent="0.45">
      <c r="A7" s="16"/>
      <c r="B7" s="17"/>
      <c r="C7" s="51">
        <f>C5</f>
        <v>13890</v>
      </c>
      <c r="D7" s="17"/>
      <c r="E7" s="17"/>
      <c r="F7" s="52">
        <f>F4</f>
        <v>13890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8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8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8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8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8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8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8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8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8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8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</vt:lpstr>
      <vt:lpstr>Journal Entries</vt:lpstr>
      <vt:lpstr>Ledger</vt:lpstr>
      <vt:lpstr>Trial Balance</vt:lpstr>
      <vt:lpstr>Income &amp; Expenditure 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 KATHIJA</dc:creator>
  <cp:lastModifiedBy>AFRIN KATHIJA</cp:lastModifiedBy>
  <dcterms:created xsi:type="dcterms:W3CDTF">2026-09-27T12:28:38Z</dcterms:created>
  <dcterms:modified xsi:type="dcterms:W3CDTF">2026-09-27T13:43:45Z</dcterms:modified>
</cp:coreProperties>
</file>